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 defaultThemeVersion="124226"/>
  <bookViews>
    <workbookView xWindow="0" yWindow="0" windowWidth="19440" windowHeight="7755" tabRatio="822"/>
  </bookViews>
  <sheets>
    <sheet name="Книга1" sheetId="11" r:id="rId1"/>
    <sheet name="EXCEL2.RU" sheetId="12" state="hidden" r:id="rId2"/>
    <sheet name="EXCEL2.RU (2)" sheetId="13" state="veryHidden" r:id="rId3"/>
  </sheets>
  <definedNames>
    <definedName name="_xlnm._FilterDatabase" localSheetId="0" hidden="1">Книга1!$H$2:$I$26</definedName>
    <definedName name="anscount" hidden="1">2</definedName>
    <definedName name="limcount" hidden="1">2</definedName>
    <definedName name="sencount" hidden="1">4</definedName>
    <definedName name="Очки">OFFSET(Книга1!$B$3,,,COUNTA(Книга1!$A$3:$A$96))</definedName>
    <definedName name="Очки2">OFFSET(Книга1!$I$3,,,COUNTA(Книга1!$H$3:$H$96))</definedName>
    <definedName name="Фамилия">OFFSET(Книга1!$A$3,,,COUNTA(Книга1!$A$3:$A$96))</definedName>
    <definedName name="Фамилия1">OFFSET(Книга1!$H$3,,,COUNTA(Книга1!$H$3:$H$96))</definedName>
  </definedNames>
  <calcPr calcId="145621"/>
</workbook>
</file>

<file path=xl/calcChain.xml><?xml version="1.0" encoding="utf-8"?>
<calcChain xmlns="http://schemas.openxmlformats.org/spreadsheetml/2006/main">
  <c r="D3" i="11" l="1" a="1"/>
  <c r="D3" i="11" s="1"/>
  <c r="D4" i="11" a="1"/>
  <c r="D4" i="11" s="1"/>
  <c r="H4" i="11" s="1"/>
  <c r="E3" i="11" l="1" a="1"/>
  <c r="E3" i="11" s="1"/>
  <c r="E4" i="11" a="1"/>
  <c r="E4" i="11" s="1"/>
  <c r="D5" i="11" a="1"/>
  <c r="D5" i="11" s="1"/>
  <c r="H5" i="11" s="1"/>
  <c r="E5" i="11" a="1"/>
  <c r="E5" i="11" s="1"/>
  <c r="D6" i="11" a="1"/>
  <c r="D6" i="11" s="1"/>
  <c r="H6" i="11" s="1"/>
  <c r="E6" i="11" a="1"/>
  <c r="E6" i="11" s="1"/>
  <c r="D7" i="11" a="1"/>
  <c r="D7" i="11" s="1"/>
  <c r="H7" i="11" s="1"/>
  <c r="E7" i="11" a="1"/>
  <c r="E7" i="11" s="1"/>
  <c r="D8" i="11" a="1"/>
  <c r="D8" i="11" s="1"/>
  <c r="H8" i="11" s="1"/>
  <c r="E8" i="11" a="1"/>
  <c r="E8" i="11" s="1"/>
  <c r="D9" i="11" a="1"/>
  <c r="D9" i="11" s="1"/>
  <c r="H9" i="11" s="1"/>
  <c r="E9" i="11" a="1"/>
  <c r="E9" i="11" s="1"/>
  <c r="D10" i="11" a="1"/>
  <c r="D10" i="11" s="1"/>
  <c r="H10" i="11" s="1"/>
  <c r="E10" i="11" a="1"/>
  <c r="E10" i="11" s="1"/>
  <c r="D11" i="11" a="1"/>
  <c r="D11" i="11" s="1"/>
  <c r="H11" i="11" s="1"/>
  <c r="E11" i="11" a="1"/>
  <c r="E11" i="11" s="1"/>
  <c r="D12" i="11" a="1"/>
  <c r="D12" i="11" s="1"/>
  <c r="H12" i="11" s="1"/>
  <c r="E12" i="11" a="1"/>
  <c r="E12" i="11" s="1"/>
  <c r="D13" i="11" a="1"/>
  <c r="D13" i="11" s="1"/>
  <c r="H13" i="11" s="1"/>
  <c r="E13" i="11" a="1"/>
  <c r="E13" i="11" s="1"/>
  <c r="D14" i="11" a="1"/>
  <c r="D14" i="11" s="1"/>
  <c r="H14" i="11" s="1"/>
  <c r="E14" i="11" a="1"/>
  <c r="E14" i="11" s="1"/>
  <c r="D15" i="11" a="1"/>
  <c r="D15" i="11" s="1"/>
  <c r="H15" i="11" s="1"/>
  <c r="E15" i="11" a="1"/>
  <c r="E15" i="11" s="1"/>
  <c r="D16" i="11" a="1"/>
  <c r="D16" i="11" s="1"/>
  <c r="H16" i="11" s="1"/>
  <c r="E16" i="11" a="1"/>
  <c r="E16" i="11" s="1"/>
  <c r="D17" i="11" a="1"/>
  <c r="D17" i="11" s="1"/>
  <c r="H17" i="11" s="1"/>
  <c r="E17" i="11" a="1"/>
  <c r="E17" i="11" s="1"/>
  <c r="D18" i="11" a="1"/>
  <c r="D18" i="11" s="1"/>
  <c r="H18" i="11" s="1"/>
  <c r="E18" i="11" a="1"/>
  <c r="E18" i="11" s="1"/>
  <c r="D19" i="11" a="1"/>
  <c r="D19" i="11" s="1"/>
  <c r="H19" i="11" s="1"/>
  <c r="E19" i="11" a="1"/>
  <c r="E19" i="11" s="1"/>
  <c r="D20" i="11" a="1"/>
  <c r="D20" i="11" s="1"/>
  <c r="H20" i="11" s="1"/>
  <c r="E20" i="11" a="1"/>
  <c r="E20" i="11" s="1"/>
  <c r="D21" i="11" a="1"/>
  <c r="D21" i="11" s="1"/>
  <c r="H21" i="11" s="1"/>
  <c r="E21" i="11" a="1"/>
  <c r="E21" i="11" s="1"/>
  <c r="D22" i="11" a="1"/>
  <c r="D22" i="11" s="1"/>
  <c r="H22" i="11" s="1"/>
  <c r="E22" i="11" a="1"/>
  <c r="E22" i="11" s="1"/>
  <c r="D23" i="11" a="1"/>
  <c r="D23" i="11" s="1"/>
  <c r="H23" i="11" s="1"/>
  <c r="E23" i="11" a="1"/>
  <c r="E23" i="11" s="1"/>
  <c r="D24" i="11" a="1"/>
  <c r="D24" i="11" s="1"/>
  <c r="H24" i="11" s="1"/>
  <c r="E24" i="11" a="1"/>
  <c r="E24" i="11" s="1"/>
  <c r="D25" i="11" a="1"/>
  <c r="D25" i="11" s="1"/>
  <c r="H25" i="11" s="1"/>
  <c r="E25" i="11" a="1"/>
  <c r="E25" i="11" s="1"/>
  <c r="D26" i="11" a="1"/>
  <c r="D26" i="11" s="1"/>
  <c r="H26" i="11" s="1"/>
  <c r="E26" i="11" a="1"/>
  <c r="E26" i="11" s="1"/>
  <c r="D27" i="11" a="1"/>
  <c r="D27" i="11" s="1"/>
  <c r="E27" i="11" a="1"/>
  <c r="E27" i="11" s="1"/>
  <c r="D28" i="11" a="1"/>
  <c r="D28" i="11" s="1"/>
  <c r="E28" i="11" a="1"/>
  <c r="E28" i="11" s="1"/>
  <c r="D29" i="11" a="1"/>
  <c r="D29" i="11" s="1"/>
  <c r="E29" i="11" a="1"/>
  <c r="E29" i="11" s="1"/>
  <c r="D30" i="11" a="1"/>
  <c r="D30" i="11" s="1"/>
  <c r="E30" i="11" a="1"/>
  <c r="E30" i="11" s="1"/>
  <c r="D31" i="11" a="1"/>
  <c r="D31" i="11" s="1"/>
  <c r="E31" i="11" a="1"/>
  <c r="E31" i="11" s="1"/>
  <c r="D32" i="11" a="1"/>
  <c r="D32" i="11" s="1"/>
  <c r="E32" i="11" a="1"/>
  <c r="E32" i="11" s="1"/>
  <c r="D33" i="11" a="1"/>
  <c r="D33" i="11" s="1"/>
  <c r="E33" i="11" a="1"/>
  <c r="E33" i="11" s="1"/>
  <c r="D34" i="11" a="1"/>
  <c r="D34" i="11" s="1"/>
  <c r="E34" i="11" a="1"/>
  <c r="E34" i="11" s="1"/>
  <c r="D35" i="11" a="1"/>
  <c r="D35" i="11" s="1"/>
  <c r="E35" i="11" a="1"/>
  <c r="E35" i="11" s="1"/>
  <c r="D36" i="11" a="1"/>
  <c r="D36" i="11" s="1"/>
  <c r="E36" i="11" a="1"/>
  <c r="E36" i="11" s="1"/>
  <c r="D37" i="11" a="1"/>
  <c r="D37" i="11" s="1"/>
  <c r="E37" i="11" a="1"/>
  <c r="E37" i="11" s="1"/>
  <c r="D38" i="11" a="1"/>
  <c r="D38" i="11" s="1"/>
  <c r="E38" i="11" a="1"/>
  <c r="E38" i="11" s="1"/>
  <c r="D39" i="11" a="1"/>
  <c r="D39" i="11" s="1"/>
  <c r="E39" i="11" a="1"/>
  <c r="E39" i="11" s="1"/>
  <c r="D40" i="11" a="1"/>
  <c r="D40" i="11" s="1"/>
  <c r="E40" i="11" a="1"/>
  <c r="E40" i="11" s="1"/>
  <c r="D41" i="11" a="1"/>
  <c r="D41" i="11" s="1"/>
  <c r="E41" i="11" a="1"/>
  <c r="E41" i="11" s="1"/>
  <c r="D42" i="11" a="1"/>
  <c r="D42" i="11" s="1"/>
  <c r="E42" i="11" a="1"/>
  <c r="E42" i="11" s="1"/>
  <c r="D43" i="11" a="1"/>
  <c r="D43" i="11" s="1"/>
  <c r="E43" i="11" a="1"/>
  <c r="E43" i="11" s="1"/>
  <c r="D44" i="11" a="1"/>
  <c r="D44" i="11" s="1"/>
  <c r="E44" i="11" a="1"/>
  <c r="E44" i="11" s="1"/>
  <c r="D45" i="11" a="1"/>
  <c r="D45" i="11" s="1"/>
  <c r="E45" i="11" a="1"/>
  <c r="E45" i="11" s="1"/>
  <c r="D46" i="11" a="1"/>
  <c r="D46" i="11" s="1"/>
  <c r="E46" i="11" a="1"/>
  <c r="E46" i="11" s="1"/>
  <c r="D47" i="11" a="1"/>
  <c r="D47" i="11" s="1"/>
  <c r="E47" i="11" a="1"/>
  <c r="E47" i="11" s="1"/>
  <c r="D48" i="11" a="1"/>
  <c r="D48" i="11" s="1"/>
  <c r="E48" i="11" a="1"/>
  <c r="E48" i="11" s="1"/>
  <c r="D49" i="11" a="1"/>
  <c r="D49" i="11" s="1"/>
  <c r="E49" i="11" a="1"/>
  <c r="E49" i="11" s="1"/>
  <c r="D50" i="11" a="1"/>
  <c r="D50" i="11" s="1"/>
  <c r="E50" i="11" a="1"/>
  <c r="E50" i="11" s="1"/>
  <c r="H3" i="11" l="1"/>
  <c r="K27" i="11" l="1" a="1"/>
  <c r="K27" i="11" s="1"/>
  <c r="K28" i="11" a="1"/>
  <c r="K28" i="11" s="1"/>
  <c r="K4" i="11" a="1"/>
  <c r="K4" i="11" s="1"/>
  <c r="K6" i="11" a="1"/>
  <c r="K6" i="11" s="1"/>
  <c r="K8" i="11" a="1"/>
  <c r="K8" i="11" s="1"/>
  <c r="K10" i="11" a="1"/>
  <c r="K10" i="11" s="1"/>
  <c r="K12" i="11" a="1"/>
  <c r="K12" i="11" s="1"/>
  <c r="K14" i="11" a="1"/>
  <c r="K14" i="11" s="1"/>
  <c r="K16" i="11" a="1"/>
  <c r="K16" i="11" s="1"/>
  <c r="K18" i="11" a="1"/>
  <c r="K18" i="11" s="1"/>
  <c r="K20" i="11" a="1"/>
  <c r="K20" i="11" s="1"/>
  <c r="K22" i="11" a="1"/>
  <c r="K22" i="11" s="1"/>
  <c r="K24" i="11" a="1"/>
  <c r="K24" i="11" s="1"/>
  <c r="K26" i="11" a="1"/>
  <c r="K26" i="11" s="1"/>
  <c r="K7" i="11" a="1"/>
  <c r="K7" i="11" s="1"/>
  <c r="K15" i="11" a="1"/>
  <c r="K15" i="11" s="1"/>
  <c r="K19" i="11" a="1"/>
  <c r="K19" i="11" s="1"/>
  <c r="K23" i="11" a="1"/>
  <c r="K23" i="11" s="1"/>
  <c r="K5" i="11" a="1"/>
  <c r="K5" i="11" s="1"/>
  <c r="K9" i="11" a="1"/>
  <c r="K9" i="11" s="1"/>
  <c r="K11" i="11" a="1"/>
  <c r="K11" i="11" s="1"/>
  <c r="K13" i="11" a="1"/>
  <c r="K13" i="11" s="1"/>
  <c r="K17" i="11" a="1"/>
  <c r="K17" i="11" s="1"/>
  <c r="K21" i="11" a="1"/>
  <c r="K21" i="11" s="1"/>
  <c r="K25" i="11" a="1"/>
  <c r="K25" i="11" s="1"/>
  <c r="L4" i="11" a="1"/>
  <c r="L4" i="11" s="1"/>
  <c r="L6" i="11" a="1"/>
  <c r="L6" i="11" s="1"/>
  <c r="L8" i="11" a="1"/>
  <c r="L8" i="11" s="1"/>
  <c r="L10" i="11" a="1"/>
  <c r="L10" i="11" s="1"/>
  <c r="L12" i="11" a="1"/>
  <c r="L12" i="11" s="1"/>
  <c r="L14" i="11" a="1"/>
  <c r="L14" i="11" s="1"/>
  <c r="L16" i="11" a="1"/>
  <c r="L16" i="11" s="1"/>
  <c r="L18" i="11" a="1"/>
  <c r="L18" i="11" s="1"/>
  <c r="L20" i="11" a="1"/>
  <c r="L20" i="11" s="1"/>
  <c r="L22" i="11" a="1"/>
  <c r="L22" i="11" s="1"/>
  <c r="L24" i="11" a="1"/>
  <c r="L24" i="11" s="1"/>
  <c r="L26" i="11" a="1"/>
  <c r="L26" i="11" s="1"/>
  <c r="L7" i="11" a="1"/>
  <c r="L7" i="11" s="1"/>
  <c r="L21" i="11" a="1"/>
  <c r="L21" i="11" s="1"/>
  <c r="L5" i="11" a="1"/>
  <c r="L5" i="11" s="1"/>
  <c r="L9" i="11" a="1"/>
  <c r="L9" i="11" s="1"/>
  <c r="L11" i="11" a="1"/>
  <c r="L11" i="11" s="1"/>
  <c r="L13" i="11" a="1"/>
  <c r="L13" i="11" s="1"/>
  <c r="L15" i="11" a="1"/>
  <c r="L15" i="11" s="1"/>
  <c r="L17" i="11" a="1"/>
  <c r="L17" i="11" s="1"/>
  <c r="L19" i="11" a="1"/>
  <c r="L19" i="11" s="1"/>
  <c r="L23" i="11" a="1"/>
  <c r="L23" i="11" s="1"/>
  <c r="L25" i="11" a="1"/>
  <c r="L25" i="11" s="1"/>
  <c r="L3" i="11" a="1"/>
  <c r="L3" i="11" s="1"/>
  <c r="K3" i="11" a="1"/>
  <c r="K3" i="11" s="1"/>
</calcChain>
</file>

<file path=xl/sharedStrings.xml><?xml version="1.0" encoding="utf-8"?>
<sst xmlns="http://schemas.openxmlformats.org/spreadsheetml/2006/main" count="66" uniqueCount="59">
  <si>
    <t>EXCEL2.RU - профессиональные приемы для всех &gt;&gt;&gt;</t>
  </si>
  <si>
    <t>Хорошая новость! Большинство задач, которые Вы хотите решить с помощью MS EXCEL – уже давно решены! 
На нашем сайте Вы найдете решения множества из наиболее часто встречающихся задач. Сайт содержит более 500 качественно оформленных статей с файлами примеров.</t>
  </si>
  <si>
    <t>Миссия нашего сайта - превратить Вашу работу в MS EXCEL в приятное времяпрепровождение и ускорить решение Ваших задач. Мы постоянно работаем над содержанием и оформлением нашего сайта и благодарим активных пользователей за поддержку и неоценимую помощь в нашей работе.</t>
  </si>
  <si>
    <t>Фамиля</t>
  </si>
  <si>
    <t>Очки</t>
  </si>
  <si>
    <t>Абрамов</t>
  </si>
  <si>
    <t>Бородин</t>
  </si>
  <si>
    <t>Быков</t>
  </si>
  <si>
    <t>Емелин</t>
  </si>
  <si>
    <t>Куликов</t>
  </si>
  <si>
    <t>Курганский</t>
  </si>
  <si>
    <t>Куркин</t>
  </si>
  <si>
    <t>Лобанов</t>
  </si>
  <si>
    <t>Назаров</t>
  </si>
  <si>
    <t>Немцов</t>
  </si>
  <si>
    <t>Осмоловский</t>
  </si>
  <si>
    <t>Петров</t>
  </si>
  <si>
    <t>Плотников</t>
  </si>
  <si>
    <t>Попов</t>
  </si>
  <si>
    <t>Скорых</t>
  </si>
  <si>
    <t>Соловьев</t>
  </si>
  <si>
    <t>Стельмаченко</t>
  </si>
  <si>
    <t>Трубачев</t>
  </si>
  <si>
    <t>Цыганов</t>
  </si>
  <si>
    <t>Фанин</t>
  </si>
  <si>
    <t>Шишкин</t>
  </si>
  <si>
    <t>Бурцов</t>
  </si>
  <si>
    <t>Бережной</t>
  </si>
  <si>
    <t>Супрунов</t>
  </si>
  <si>
    <t>Худовеков</t>
  </si>
  <si>
    <t>Лобов</t>
  </si>
  <si>
    <t>Курчин</t>
  </si>
  <si>
    <t>Калягин</t>
  </si>
  <si>
    <t>Милехин</t>
  </si>
  <si>
    <t>Горбунов</t>
  </si>
  <si>
    <t>Низамутдинов</t>
  </si>
  <si>
    <t>Игнатьев</t>
  </si>
  <si>
    <t>Алеев</t>
  </si>
  <si>
    <t>Крутиков</t>
  </si>
  <si>
    <t>Мещеряков</t>
  </si>
  <si>
    <t>Зыков</t>
  </si>
  <si>
    <t>Дворников</t>
  </si>
  <si>
    <t>Жутов</t>
  </si>
  <si>
    <t>Шпикалов</t>
  </si>
  <si>
    <t>Решетилов</t>
  </si>
  <si>
    <t>Качусов</t>
  </si>
  <si>
    <t>Арефьев</t>
  </si>
  <si>
    <t>Махмудов</t>
  </si>
  <si>
    <t>Генкин</t>
  </si>
  <si>
    <t>Пермяков</t>
  </si>
  <si>
    <t>Поздняков</t>
  </si>
  <si>
    <t>Толоконский</t>
  </si>
  <si>
    <t>Иванов</t>
  </si>
  <si>
    <t>Фамилия</t>
  </si>
  <si>
    <r>
      <t xml:space="preserve">Очки </t>
    </r>
    <r>
      <rPr>
        <b/>
        <sz val="11"/>
        <color rgb="FFFF0000"/>
        <rFont val="Wingdings"/>
        <charset val="2"/>
      </rPr>
      <t>â</t>
    </r>
  </si>
  <si>
    <t>Исходные данные</t>
  </si>
  <si>
    <t>Общий рейтинг</t>
  </si>
  <si>
    <t>Финальный рейтинг</t>
  </si>
  <si>
    <t>Финал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</si>
</sst>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name val="Arial Narrow"/>
      <family val="2"/>
      <charset val="204"/>
    </font>
    <font>
      <u/>
      <sz val="12"/>
      <color theme="10"/>
      <name val="Arial Narrow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b/>
      <sz val="11"/>
      <color rgb="FFFF0000"/>
      <name val="Wingdings"/>
      <charset val="2"/>
    </font>
    <font>
      <sz val="20"/>
      <color theme="0"/>
      <name val="Calibri"/>
      <family val="2"/>
      <charset val="204"/>
      <scheme val="minor"/>
    </font>
    <font>
      <sz val="14"/>
      <color theme="2" tint="-0.749992370372631"/>
      <name val="Calibri"/>
      <family val="2"/>
      <charset val="204"/>
      <scheme val="minor"/>
    </font>
    <font>
      <sz val="10"/>
      <name val="MS Sans Serif"/>
      <family val="2"/>
    </font>
    <font>
      <sz val="8"/>
      <name val="Helv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2" fillId="0" borderId="0">
      <alignment horizontal="left"/>
    </xf>
    <xf numFmtId="0" fontId="7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/>
    <xf numFmtId="0" fontId="1" fillId="0" borderId="0" xfId="0" applyFont="1" applyBorder="1" applyAlignment="1">
      <alignment horizontal="left" vertical="top"/>
    </xf>
    <xf numFmtId="0" fontId="0" fillId="0" borderId="0" xfId="0" applyBorder="1"/>
    <xf numFmtId="0" fontId="3" fillId="0" borderId="1" xfId="0" applyFont="1" applyBorder="1"/>
    <xf numFmtId="0" fontId="4" fillId="0" borderId="0" xfId="1"/>
    <xf numFmtId="0" fontId="2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0" xfId="1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9" fillId="2" borderId="0" xfId="4" applyFont="1" applyFill="1" applyAlignment="1" applyProtection="1">
      <alignment horizontal="center" vertical="center"/>
    </xf>
  </cellXfs>
  <cellStyles count="8">
    <cellStyle name="Currency_TapePivot" xfId="3"/>
    <cellStyle name="Normal_ALLOC1" xfId="5"/>
    <cellStyle name="Гиперссылка" xfId="4" builtinId="8"/>
    <cellStyle name="Гиперссылка 2" xfId="2"/>
    <cellStyle name="Гиперссылка 3" xfId="7"/>
    <cellStyle name="Обычный" xfId="0" builtinId="0"/>
    <cellStyle name="Обычный 2" xfId="1"/>
    <cellStyle name="Обычный 3" xfId="6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FF99"/>
        </patternFill>
      </fill>
    </dxf>
    <dxf>
      <font>
        <condense val="0"/>
        <extend val="0"/>
        <color rgb="FF9C0006"/>
      </font>
      <fill>
        <patternFill>
          <bgColor rgb="FFFFFF99"/>
        </patternFill>
      </fill>
    </dxf>
    <dxf>
      <font>
        <color theme="0"/>
      </font>
    </dxf>
    <dxf>
      <font>
        <condense val="0"/>
        <extend val="0"/>
        <color rgb="FF9C0006"/>
      </font>
      <fill>
        <patternFill>
          <bgColor rgb="FFFFFF9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FF99"/>
        </patternFill>
      </fill>
    </dxf>
    <dxf>
      <font>
        <color theme="0"/>
      </font>
    </dxf>
  </dxfs>
  <tableStyles count="0" defaultTableStyle="TableStyleMedium9" defaultPivotStyle="PivotStyleLight16"/>
  <colors>
    <mruColors>
      <color rgb="FFFFFF99"/>
      <color rgb="FFF7C7CE"/>
      <color rgb="FFF7B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excel2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excel2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workbookViewId="0">
      <selection activeCell="B3" sqref="B3"/>
    </sheetView>
  </sheetViews>
  <sheetFormatPr defaultRowHeight="15" x14ac:dyDescent="0.25"/>
  <cols>
    <col min="1" max="1" width="16.5703125" customWidth="1"/>
    <col min="2" max="2" width="18" customWidth="1"/>
    <col min="3" max="3" width="2.85546875" customWidth="1"/>
    <col min="4" max="4" width="16.5703125" customWidth="1"/>
    <col min="5" max="5" width="18" bestFit="1" customWidth="1"/>
    <col min="6" max="6" width="2.28515625" customWidth="1"/>
    <col min="7" max="7" width="3" customWidth="1"/>
    <col min="8" max="8" width="18.42578125" customWidth="1"/>
    <col min="9" max="9" width="13.7109375" customWidth="1"/>
    <col min="11" max="11" width="23.85546875" customWidth="1"/>
    <col min="12" max="12" width="15.5703125" customWidth="1"/>
    <col min="264" max="264" width="10" customWidth="1"/>
    <col min="345" max="345" width="8.5703125" customWidth="1"/>
  </cols>
  <sheetData>
    <row r="1" spans="1:12" ht="15.75" thickBot="1" x14ac:dyDescent="0.3">
      <c r="A1" s="9" t="s">
        <v>55</v>
      </c>
      <c r="B1" s="10"/>
      <c r="C1" s="10"/>
      <c r="D1" s="9" t="s">
        <v>56</v>
      </c>
      <c r="H1" s="8" t="s">
        <v>58</v>
      </c>
      <c r="K1" s="8" t="s">
        <v>57</v>
      </c>
    </row>
    <row r="2" spans="1:12" ht="16.5" customHeight="1" thickBot="1" x14ac:dyDescent="0.3">
      <c r="A2" s="1" t="s">
        <v>3</v>
      </c>
      <c r="B2" s="2" t="s">
        <v>4</v>
      </c>
      <c r="D2" s="14" t="s">
        <v>53</v>
      </c>
      <c r="E2" s="15" t="s">
        <v>54</v>
      </c>
      <c r="G2" s="4"/>
      <c r="H2" s="24" t="s">
        <v>53</v>
      </c>
      <c r="I2" s="25" t="s">
        <v>4</v>
      </c>
      <c r="K2" s="14" t="s">
        <v>53</v>
      </c>
      <c r="L2" s="15" t="s">
        <v>54</v>
      </c>
    </row>
    <row r="3" spans="1:12" ht="15.75" thickBot="1" x14ac:dyDescent="0.3">
      <c r="A3" s="12" t="s">
        <v>5</v>
      </c>
      <c r="B3" s="12"/>
      <c r="D3" s="16" t="str">
        <f t="array" aca="1" ref="D3" ca="1">INDEX(Фамилия,ROUND(MOD(LARGE(--(COUNTIF(Очки,"&lt;"&amp;Очки)&amp;","&amp;REPT("0",3-LEN(ROW(Очки)-ROW($D$2)))&amp;ROW(Очки)-ROW($D$2)),ROW()-ROW($D$2)),1)*1000,0))</f>
        <v>Иванов</v>
      </c>
      <c r="E3" s="17">
        <f t="array" aca="1" ref="E3" ca="1">IFERROR(INDEX(Очки,ROUND(MOD(LARGE(--(COUNTIF(Очки,"&lt;"&amp;Очки)&amp;","&amp;REPT("0",3-LEN(ROW(Очки)-ROW($D$2)))&amp;ROW(Очки)-ROW($D$2)),ROW()-ROW($D$2)),1)*1000,0)),"")</f>
        <v>0</v>
      </c>
      <c r="G3" s="5"/>
      <c r="H3" s="23" t="str">
        <f ca="1">$D3</f>
        <v>Иванов</v>
      </c>
      <c r="I3" s="12"/>
      <c r="K3" s="16" t="str">
        <f t="array" aca="1" ref="K3" ca="1">INDEX(Фамилия1,ROUND(MOD(LARGE(--(COUNTIF(Очки2,"&lt;"&amp;Очки2)&amp;","&amp;REPT("0",3-LEN(ROW(Очки2)-ROW($K$2)))&amp;ROW(Очки2)-ROW($K$2)),ROW()-ROW($K$2)),1)*1000,0))</f>
        <v>Худовеков</v>
      </c>
      <c r="L3" s="17">
        <f t="array" aca="1" ref="L3" ca="1">IFERROR(INDEX(Очки2,ROUND(MOD(LARGE(--(COUNTIF(Очки2,"&lt;"&amp;Очки2)&amp;","&amp;REPT("0",3-LEN(ROW(Очки2)-ROW($K$2)))&amp;ROW(Очки2)-ROW($K$2)),ROW()-ROW($K$2)),1)*1000,0)),"")</f>
        <v>0</v>
      </c>
    </row>
    <row r="4" spans="1:12" ht="15.75" thickBot="1" x14ac:dyDescent="0.3">
      <c r="A4" s="12" t="s">
        <v>6</v>
      </c>
      <c r="B4" s="12"/>
      <c r="D4" s="18" t="str">
        <f t="array" aca="1" ref="D4" ca="1">INDEX(Фамилия,ROUND(MOD(LARGE(--(COUNTIF(Очки,"&lt;"&amp;Очки)&amp;","&amp;REPT("0",3-LEN(ROW(Очки)-ROW($D$2)))&amp;ROW(Очки)-ROW($D$2)),ROW()-ROW($D$2)),1)*1000,0))</f>
        <v>Толоконский</v>
      </c>
      <c r="E4" s="19">
        <f t="array" aca="1" ref="E4" ca="1">IFERROR(INDEX(Очки,ROUND(MOD(LARGE(--(COUNTIF(Очки,"&lt;"&amp;Очки)&amp;","&amp;REPT("0",3-LEN(ROW(Очки)-ROW($D$2)))&amp;ROW(Очки)-ROW($D$2)),ROW()-ROW($D$2)),1)*1000,0)),"")</f>
        <v>0</v>
      </c>
      <c r="G4" s="5"/>
      <c r="H4" s="23" t="str">
        <f ca="1">$D4</f>
        <v>Толоконский</v>
      </c>
      <c r="I4" s="12"/>
      <c r="K4" s="16" t="str">
        <f t="array" aca="1" ref="K4" ca="1">INDEX(Фамилия1,ROUND(MOD(LARGE(--(COUNTIF(Очки2,"&lt;"&amp;Очки2)&amp;","&amp;REPT("0",3-LEN(ROW(Очки2)-ROW($K$2)))&amp;ROW(Очки2)-ROW($K$2)),ROW()-ROW($K$2)),1)*1000,0))</f>
        <v>Лобов</v>
      </c>
      <c r="L4" s="17">
        <f t="array" aca="1" ref="L4" ca="1">IFERROR(INDEX(Очки2,ROUND(MOD(LARGE(--(COUNTIF(Очки2,"&lt;"&amp;Очки2)&amp;","&amp;REPT("0",3-LEN(ROW(Очки2)-ROW($K$2)))&amp;ROW(Очки2)-ROW($K$2)),ROW()-ROW($K$2)),1)*1000,0)),"")</f>
        <v>0</v>
      </c>
    </row>
    <row r="5" spans="1:12" ht="15.75" thickBot="1" x14ac:dyDescent="0.3">
      <c r="A5" s="12" t="s">
        <v>7</v>
      </c>
      <c r="B5" s="12"/>
      <c r="D5" s="18" t="str">
        <f t="array" aca="1" ref="D5" ca="1">INDEX(Фамилия,ROUND(MOD(LARGE(--(COUNTIF(Очки,"&lt;"&amp;Очки)&amp;","&amp;REPT("0",3-LEN(ROW(Очки)-ROW($D$2)))&amp;ROW(Очки)-ROW($D$2)),ROW()-ROW($D$2)),1)*1000,0))</f>
        <v>Поздняков</v>
      </c>
      <c r="E5" s="19">
        <f t="array" aca="1" ref="E5" ca="1">IFERROR(INDEX(Очки,ROUND(MOD(LARGE(--(COUNTIF(Очки,"&lt;"&amp;Очки)&amp;","&amp;REPT("0",3-LEN(ROW(Очки)-ROW($D$2)))&amp;ROW(Очки)-ROW($D$2)),ROW()-ROW($D$2)),1)*1000,0)),"")</f>
        <v>0</v>
      </c>
      <c r="G5" s="5"/>
      <c r="H5" s="23" t="str">
        <f t="shared" ref="H5:H26" ca="1" si="0">$D5</f>
        <v>Поздняков</v>
      </c>
      <c r="I5" s="12"/>
      <c r="K5" s="16" t="str">
        <f t="array" aca="1" ref="K5" ca="1">INDEX(Фамилия1,ROUND(MOD(LARGE(--(COUNTIF(Очки2,"&lt;"&amp;Очки2)&amp;","&amp;REPT("0",3-LEN(ROW(Очки2)-ROW($K$2)))&amp;ROW(Очки2)-ROW($K$2)),ROW()-ROW($K$2)),1)*1000,0))</f>
        <v>Курчин</v>
      </c>
      <c r="L5" s="17">
        <f t="array" aca="1" ref="L5" ca="1">IFERROR(INDEX(Очки2,ROUND(MOD(LARGE(--(COUNTIF(Очки2,"&lt;"&amp;Очки2)&amp;","&amp;REPT("0",3-LEN(ROW(Очки2)-ROW($K$2)))&amp;ROW(Очки2)-ROW($K$2)),ROW()-ROW($K$2)),1)*1000,0)),"")</f>
        <v>0</v>
      </c>
    </row>
    <row r="6" spans="1:12" ht="15.75" thickBot="1" x14ac:dyDescent="0.3">
      <c r="A6" s="12" t="s">
        <v>8</v>
      </c>
      <c r="B6" s="12"/>
      <c r="D6" s="18" t="str">
        <f t="array" aca="1" ref="D6" ca="1">INDEX(Фамилия,ROUND(MOD(LARGE(--(COUNTIF(Очки,"&lt;"&amp;Очки)&amp;","&amp;REPT("0",3-LEN(ROW(Очки)-ROW($D$2)))&amp;ROW(Очки)-ROW($D$2)),ROW()-ROW($D$2)),1)*1000,0))</f>
        <v>Пермяков</v>
      </c>
      <c r="E6" s="19">
        <f t="array" aca="1" ref="E6" ca="1">IFERROR(INDEX(Очки,ROUND(MOD(LARGE(--(COUNTIF(Очки,"&lt;"&amp;Очки)&amp;","&amp;REPT("0",3-LEN(ROW(Очки)-ROW($D$2)))&amp;ROW(Очки)-ROW($D$2)),ROW()-ROW($D$2)),1)*1000,0)),"")</f>
        <v>0</v>
      </c>
      <c r="G6" s="5"/>
      <c r="H6" s="23" t="str">
        <f t="shared" ca="1" si="0"/>
        <v>Пермяков</v>
      </c>
      <c r="I6" s="12"/>
      <c r="K6" s="16" t="str">
        <f t="array" aca="1" ref="K6" ca="1">INDEX(Фамилия1,ROUND(MOD(LARGE(--(COUNTIF(Очки2,"&lt;"&amp;Очки2)&amp;","&amp;REPT("0",3-LEN(ROW(Очки2)-ROW($K$2)))&amp;ROW(Очки2)-ROW($K$2)),ROW()-ROW($K$2)),1)*1000,0))</f>
        <v>Калягин</v>
      </c>
      <c r="L6" s="17">
        <f t="array" aca="1" ref="L6" ca="1">IFERROR(INDEX(Очки2,ROUND(MOD(LARGE(--(COUNTIF(Очки2,"&lt;"&amp;Очки2)&amp;","&amp;REPT("0",3-LEN(ROW(Очки2)-ROW($K$2)))&amp;ROW(Очки2)-ROW($K$2)),ROW()-ROW($K$2)),1)*1000,0)),"")</f>
        <v>0</v>
      </c>
    </row>
    <row r="7" spans="1:12" ht="15.75" thickBot="1" x14ac:dyDescent="0.3">
      <c r="A7" s="12" t="s">
        <v>9</v>
      </c>
      <c r="B7" s="12"/>
      <c r="D7" s="18" t="str">
        <f t="array" aca="1" ref="D7" ca="1">INDEX(Фамилия,ROUND(MOD(LARGE(--(COUNTIF(Очки,"&lt;"&amp;Очки)&amp;","&amp;REPT("0",3-LEN(ROW(Очки)-ROW($D$2)))&amp;ROW(Очки)-ROW($D$2)),ROW()-ROW($D$2)),1)*1000,0))</f>
        <v>Генкин</v>
      </c>
      <c r="E7" s="19">
        <f t="array" aca="1" ref="E7" ca="1">IFERROR(INDEX(Очки,ROUND(MOD(LARGE(--(COUNTIF(Очки,"&lt;"&amp;Очки)&amp;","&amp;REPT("0",3-LEN(ROW(Очки)-ROW($D$2)))&amp;ROW(Очки)-ROW($D$2)),ROW()-ROW($D$2)),1)*1000,0)),"")</f>
        <v>0</v>
      </c>
      <c r="G7" s="5"/>
      <c r="H7" s="23" t="str">
        <f t="shared" ca="1" si="0"/>
        <v>Генкин</v>
      </c>
      <c r="I7" s="12"/>
      <c r="K7" s="16" t="str">
        <f t="array" aca="1" ref="K7" ca="1">INDEX(Фамилия1,ROUND(MOD(LARGE(--(COUNTIF(Очки2,"&lt;"&amp;Очки2)&amp;","&amp;REPT("0",3-LEN(ROW(Очки2)-ROW($K$2)))&amp;ROW(Очки2)-ROW($K$2)),ROW()-ROW($K$2)),1)*1000,0))</f>
        <v>Милехин</v>
      </c>
      <c r="L7" s="17">
        <f t="array" aca="1" ref="L7" ca="1">IFERROR(INDEX(Очки2,ROUND(MOD(LARGE(--(COUNTIF(Очки2,"&lt;"&amp;Очки2)&amp;","&amp;REPT("0",3-LEN(ROW(Очки2)-ROW($K$2)))&amp;ROW(Очки2)-ROW($K$2)),ROW()-ROW($K$2)),1)*1000,0)),"")</f>
        <v>0</v>
      </c>
    </row>
    <row r="8" spans="1:12" ht="15.75" thickBot="1" x14ac:dyDescent="0.3">
      <c r="A8" s="12" t="s">
        <v>10</v>
      </c>
      <c r="B8" s="12"/>
      <c r="D8" s="18" t="str">
        <f t="array" aca="1" ref="D8" ca="1">INDEX(Фамилия,ROUND(MOD(LARGE(--(COUNTIF(Очки,"&lt;"&amp;Очки)&amp;","&amp;REPT("0",3-LEN(ROW(Очки)-ROW($D$2)))&amp;ROW(Очки)-ROW($D$2)),ROW()-ROW($D$2)),1)*1000,0))</f>
        <v>Махмудов</v>
      </c>
      <c r="E8" s="19">
        <f t="array" aca="1" ref="E8" ca="1">IFERROR(INDEX(Очки,ROUND(MOD(LARGE(--(COUNTIF(Очки,"&lt;"&amp;Очки)&amp;","&amp;REPT("0",3-LEN(ROW(Очки)-ROW($D$2)))&amp;ROW(Очки)-ROW($D$2)),ROW()-ROW($D$2)),1)*1000,0)),"")</f>
        <v>0</v>
      </c>
      <c r="G8" s="5"/>
      <c r="H8" s="23" t="str">
        <f t="shared" ca="1" si="0"/>
        <v>Махмудов</v>
      </c>
      <c r="I8" s="12"/>
      <c r="K8" s="16" t="str">
        <f t="array" aca="1" ref="K8" ca="1">INDEX(Фамилия1,ROUND(MOD(LARGE(--(COUNTIF(Очки2,"&lt;"&amp;Очки2)&amp;","&amp;REPT("0",3-LEN(ROW(Очки2)-ROW($K$2)))&amp;ROW(Очки2)-ROW($K$2)),ROW()-ROW($K$2)),1)*1000,0))</f>
        <v>Горбунов</v>
      </c>
      <c r="L8" s="17">
        <f t="array" aca="1" ref="L8" ca="1">IFERROR(INDEX(Очки2,ROUND(MOD(LARGE(--(COUNTIF(Очки2,"&lt;"&amp;Очки2)&amp;","&amp;REPT("0",3-LEN(ROW(Очки2)-ROW($K$2)))&amp;ROW(Очки2)-ROW($K$2)),ROW()-ROW($K$2)),1)*1000,0)),"")</f>
        <v>0</v>
      </c>
    </row>
    <row r="9" spans="1:12" ht="15.75" thickBot="1" x14ac:dyDescent="0.3">
      <c r="A9" s="12" t="s">
        <v>11</v>
      </c>
      <c r="B9" s="12"/>
      <c r="D9" s="18" t="str">
        <f t="array" aca="1" ref="D9" ca="1">INDEX(Фамилия,ROUND(MOD(LARGE(--(COUNTIF(Очки,"&lt;"&amp;Очки)&amp;","&amp;REPT("0",3-LEN(ROW(Очки)-ROW($D$2)))&amp;ROW(Очки)-ROW($D$2)),ROW()-ROW($D$2)),1)*1000,0))</f>
        <v>Арефьев</v>
      </c>
      <c r="E9" s="19">
        <f t="array" aca="1" ref="E9" ca="1">IFERROR(INDEX(Очки,ROUND(MOD(LARGE(--(COUNTIF(Очки,"&lt;"&amp;Очки)&amp;","&amp;REPT("0",3-LEN(ROW(Очки)-ROW($D$2)))&amp;ROW(Очки)-ROW($D$2)),ROW()-ROW($D$2)),1)*1000,0)),"")</f>
        <v>0</v>
      </c>
      <c r="G9" s="5"/>
      <c r="H9" s="23" t="str">
        <f t="shared" ca="1" si="0"/>
        <v>Арефьев</v>
      </c>
      <c r="I9" s="12"/>
      <c r="K9" s="16" t="str">
        <f t="array" aca="1" ref="K9" ca="1">INDEX(Фамилия1,ROUND(MOD(LARGE(--(COUNTIF(Очки2,"&lt;"&amp;Очки2)&amp;","&amp;REPT("0",3-LEN(ROW(Очки2)-ROW($K$2)))&amp;ROW(Очки2)-ROW($K$2)),ROW()-ROW($K$2)),1)*1000,0))</f>
        <v>Низамутдинов</v>
      </c>
      <c r="L9" s="17">
        <f t="array" aca="1" ref="L9" ca="1">IFERROR(INDEX(Очки2,ROUND(MOD(LARGE(--(COUNTIF(Очки2,"&lt;"&amp;Очки2)&amp;","&amp;REPT("0",3-LEN(ROW(Очки2)-ROW($K$2)))&amp;ROW(Очки2)-ROW($K$2)),ROW()-ROW($K$2)),1)*1000,0)),"")</f>
        <v>0</v>
      </c>
    </row>
    <row r="10" spans="1:12" ht="15.75" thickBot="1" x14ac:dyDescent="0.3">
      <c r="A10" s="12" t="s">
        <v>12</v>
      </c>
      <c r="B10" s="12"/>
      <c r="D10" s="18" t="str">
        <f t="array" aca="1" ref="D10" ca="1">INDEX(Фамилия,ROUND(MOD(LARGE(--(COUNTIF(Очки,"&lt;"&amp;Очки)&amp;","&amp;REPT("0",3-LEN(ROW(Очки)-ROW($D$2)))&amp;ROW(Очки)-ROW($D$2)),ROW()-ROW($D$2)),1)*1000,0))</f>
        <v>Качусов</v>
      </c>
      <c r="E10" s="19">
        <f t="array" aca="1" ref="E10" ca="1">IFERROR(INDEX(Очки,ROUND(MOD(LARGE(--(COUNTIF(Очки,"&lt;"&amp;Очки)&amp;","&amp;REPT("0",3-LEN(ROW(Очки)-ROW($D$2)))&amp;ROW(Очки)-ROW($D$2)),ROW()-ROW($D$2)),1)*1000,0)),"")</f>
        <v>0</v>
      </c>
      <c r="G10" s="5"/>
      <c r="H10" s="23" t="str">
        <f t="shared" ca="1" si="0"/>
        <v>Качусов</v>
      </c>
      <c r="I10" s="12"/>
      <c r="K10" s="16" t="str">
        <f t="array" aca="1" ref="K10" ca="1">INDEX(Фамилия1,ROUND(MOD(LARGE(--(COUNTIF(Очки2,"&lt;"&amp;Очки2)&amp;","&amp;REPT("0",3-LEN(ROW(Очки2)-ROW($K$2)))&amp;ROW(Очки2)-ROW($K$2)),ROW()-ROW($K$2)),1)*1000,0))</f>
        <v>Игнатьев</v>
      </c>
      <c r="L10" s="17">
        <f t="array" aca="1" ref="L10" ca="1">IFERROR(INDEX(Очки2,ROUND(MOD(LARGE(--(COUNTIF(Очки2,"&lt;"&amp;Очки2)&amp;","&amp;REPT("0",3-LEN(ROW(Очки2)-ROW($K$2)))&amp;ROW(Очки2)-ROW($K$2)),ROW()-ROW($K$2)),1)*1000,0)),"")</f>
        <v>0</v>
      </c>
    </row>
    <row r="11" spans="1:12" ht="15.75" thickBot="1" x14ac:dyDescent="0.3">
      <c r="A11" s="12" t="s">
        <v>13</v>
      </c>
      <c r="B11" s="12"/>
      <c r="D11" s="18" t="str">
        <f t="array" aca="1" ref="D11" ca="1">INDEX(Фамилия,ROUND(MOD(LARGE(--(COUNTIF(Очки,"&lt;"&amp;Очки)&amp;","&amp;REPT("0",3-LEN(ROW(Очки)-ROW($D$2)))&amp;ROW(Очки)-ROW($D$2)),ROW()-ROW($D$2)),1)*1000,0))</f>
        <v>Решетилов</v>
      </c>
      <c r="E11" s="19">
        <f t="array" aca="1" ref="E11" ca="1">IFERROR(INDEX(Очки,ROUND(MOD(LARGE(--(COUNTIF(Очки,"&lt;"&amp;Очки)&amp;","&amp;REPT("0",3-LEN(ROW(Очки)-ROW($D$2)))&amp;ROW(Очки)-ROW($D$2)),ROW()-ROW($D$2)),1)*1000,0)),"")</f>
        <v>0</v>
      </c>
      <c r="G11" s="5"/>
      <c r="H11" s="23" t="str">
        <f t="shared" ca="1" si="0"/>
        <v>Решетилов</v>
      </c>
      <c r="I11" s="12"/>
      <c r="K11" s="16" t="str">
        <f t="array" aca="1" ref="K11" ca="1">INDEX(Фамилия1,ROUND(MOD(LARGE(--(COUNTIF(Очки2,"&lt;"&amp;Очки2)&amp;","&amp;REPT("0",3-LEN(ROW(Очки2)-ROW($K$2)))&amp;ROW(Очки2)-ROW($K$2)),ROW()-ROW($K$2)),1)*1000,0))</f>
        <v>Алеев</v>
      </c>
      <c r="L11" s="17">
        <f t="array" aca="1" ref="L11" ca="1">IFERROR(INDEX(Очки2,ROUND(MOD(LARGE(--(COUNTIF(Очки2,"&lt;"&amp;Очки2)&amp;","&amp;REPT("0",3-LEN(ROW(Очки2)-ROW($K$2)))&amp;ROW(Очки2)-ROW($K$2)),ROW()-ROW($K$2)),1)*1000,0)),"")</f>
        <v>0</v>
      </c>
    </row>
    <row r="12" spans="1:12" ht="15.75" thickBot="1" x14ac:dyDescent="0.3">
      <c r="A12" s="12" t="s">
        <v>14</v>
      </c>
      <c r="B12" s="12"/>
      <c r="D12" s="18" t="str">
        <f t="array" aca="1" ref="D12" ca="1">INDEX(Фамилия,ROUND(MOD(LARGE(--(COUNTIF(Очки,"&lt;"&amp;Очки)&amp;","&amp;REPT("0",3-LEN(ROW(Очки)-ROW($D$2)))&amp;ROW(Очки)-ROW($D$2)),ROW()-ROW($D$2)),1)*1000,0))</f>
        <v>Шпикалов</v>
      </c>
      <c r="E12" s="19">
        <f t="array" aca="1" ref="E12" ca="1">IFERROR(INDEX(Очки,ROUND(MOD(LARGE(--(COUNTIF(Очки,"&lt;"&amp;Очки)&amp;","&amp;REPT("0",3-LEN(ROW(Очки)-ROW($D$2)))&amp;ROW(Очки)-ROW($D$2)),ROW()-ROW($D$2)),1)*1000,0)),"")</f>
        <v>0</v>
      </c>
      <c r="G12" s="5"/>
      <c r="H12" s="23" t="str">
        <f t="shared" ca="1" si="0"/>
        <v>Шпикалов</v>
      </c>
      <c r="I12" s="12"/>
      <c r="K12" s="16" t="str">
        <f t="array" aca="1" ref="K12" ca="1">INDEX(Фамилия1,ROUND(MOD(LARGE(--(COUNTIF(Очки2,"&lt;"&amp;Очки2)&amp;","&amp;REPT("0",3-LEN(ROW(Очки2)-ROW($K$2)))&amp;ROW(Очки2)-ROW($K$2)),ROW()-ROW($K$2)),1)*1000,0))</f>
        <v>Крутиков</v>
      </c>
      <c r="L12" s="17">
        <f t="array" aca="1" ref="L12" ca="1">IFERROR(INDEX(Очки2,ROUND(MOD(LARGE(--(COUNTIF(Очки2,"&lt;"&amp;Очки2)&amp;","&amp;REPT("0",3-LEN(ROW(Очки2)-ROW($K$2)))&amp;ROW(Очки2)-ROW($K$2)),ROW()-ROW($K$2)),1)*1000,0)),"")</f>
        <v>0</v>
      </c>
    </row>
    <row r="13" spans="1:12" ht="15.75" thickBot="1" x14ac:dyDescent="0.3">
      <c r="A13" s="12" t="s">
        <v>15</v>
      </c>
      <c r="B13" s="12"/>
      <c r="D13" s="18" t="str">
        <f t="array" aca="1" ref="D13" ca="1">INDEX(Фамилия,ROUND(MOD(LARGE(--(COUNTIF(Очки,"&lt;"&amp;Очки)&amp;","&amp;REPT("0",3-LEN(ROW(Очки)-ROW($D$2)))&amp;ROW(Очки)-ROW($D$2)),ROW()-ROW($D$2)),1)*1000,0))</f>
        <v>Жутов</v>
      </c>
      <c r="E13" s="19">
        <f t="array" aca="1" ref="E13" ca="1">IFERROR(INDEX(Очки,ROUND(MOD(LARGE(--(COUNTIF(Очки,"&lt;"&amp;Очки)&amp;","&amp;REPT("0",3-LEN(ROW(Очки)-ROW($D$2)))&amp;ROW(Очки)-ROW($D$2)),ROW()-ROW($D$2)),1)*1000,0)),"")</f>
        <v>0</v>
      </c>
      <c r="G13" s="5"/>
      <c r="H13" s="23" t="str">
        <f t="shared" ca="1" si="0"/>
        <v>Жутов</v>
      </c>
      <c r="I13" s="12"/>
      <c r="K13" s="16" t="str">
        <f t="array" aca="1" ref="K13" ca="1">INDEX(Фамилия1,ROUND(MOD(LARGE(--(COUNTIF(Очки2,"&lt;"&amp;Очки2)&amp;","&amp;REPT("0",3-LEN(ROW(Очки2)-ROW($K$2)))&amp;ROW(Очки2)-ROW($K$2)),ROW()-ROW($K$2)),1)*1000,0))</f>
        <v>Мещеряков</v>
      </c>
      <c r="L13" s="17">
        <f t="array" aca="1" ref="L13" ca="1">IFERROR(INDEX(Очки2,ROUND(MOD(LARGE(--(COUNTIF(Очки2,"&lt;"&amp;Очки2)&amp;","&amp;REPT("0",3-LEN(ROW(Очки2)-ROW($K$2)))&amp;ROW(Очки2)-ROW($K$2)),ROW()-ROW($K$2)),1)*1000,0)),"")</f>
        <v>0</v>
      </c>
    </row>
    <row r="14" spans="1:12" ht="15.75" thickBot="1" x14ac:dyDescent="0.3">
      <c r="A14" s="12" t="s">
        <v>16</v>
      </c>
      <c r="B14" s="12"/>
      <c r="D14" s="18" t="str">
        <f t="array" aca="1" ref="D14" ca="1">INDEX(Фамилия,ROUND(MOD(LARGE(--(COUNTIF(Очки,"&lt;"&amp;Очки)&amp;","&amp;REPT("0",3-LEN(ROW(Очки)-ROW($D$2)))&amp;ROW(Очки)-ROW($D$2)),ROW()-ROW($D$2)),1)*1000,0))</f>
        <v>Дворников</v>
      </c>
      <c r="E14" s="19">
        <f t="array" aca="1" ref="E14" ca="1">IFERROR(INDEX(Очки,ROUND(MOD(LARGE(--(COUNTIF(Очки,"&lt;"&amp;Очки)&amp;","&amp;REPT("0",3-LEN(ROW(Очки)-ROW($D$2)))&amp;ROW(Очки)-ROW($D$2)),ROW()-ROW($D$2)),1)*1000,0)),"")</f>
        <v>0</v>
      </c>
      <c r="G14" s="5"/>
      <c r="H14" s="23" t="str">
        <f t="shared" ca="1" si="0"/>
        <v>Дворников</v>
      </c>
      <c r="I14" s="12"/>
      <c r="K14" s="16" t="str">
        <f t="array" aca="1" ref="K14" ca="1">INDEX(Фамилия1,ROUND(MOD(LARGE(--(COUNTIF(Очки2,"&lt;"&amp;Очки2)&amp;","&amp;REPT("0",3-LEN(ROW(Очки2)-ROW($K$2)))&amp;ROW(Очки2)-ROW($K$2)),ROW()-ROW($K$2)),1)*1000,0))</f>
        <v>Зыков</v>
      </c>
      <c r="L14" s="17">
        <f t="array" aca="1" ref="L14" ca="1">IFERROR(INDEX(Очки2,ROUND(MOD(LARGE(--(COUNTIF(Очки2,"&lt;"&amp;Очки2)&amp;","&amp;REPT("0",3-LEN(ROW(Очки2)-ROW($K$2)))&amp;ROW(Очки2)-ROW($K$2)),ROW()-ROW($K$2)),1)*1000,0)),"")</f>
        <v>0</v>
      </c>
    </row>
    <row r="15" spans="1:12" ht="15.75" thickBot="1" x14ac:dyDescent="0.3">
      <c r="A15" s="12" t="s">
        <v>17</v>
      </c>
      <c r="B15" s="12"/>
      <c r="D15" s="18" t="str">
        <f t="array" aca="1" ref="D15" ca="1">INDEX(Фамилия,ROUND(MOD(LARGE(--(COUNTIF(Очки,"&lt;"&amp;Очки)&amp;","&amp;REPT("0",3-LEN(ROW(Очки)-ROW($D$2)))&amp;ROW(Очки)-ROW($D$2)),ROW()-ROW($D$2)),1)*1000,0))</f>
        <v>Зыков</v>
      </c>
      <c r="E15" s="19">
        <f t="array" aca="1" ref="E15" ca="1">IFERROR(INDEX(Очки,ROUND(MOD(LARGE(--(COUNTIF(Очки,"&lt;"&amp;Очки)&amp;","&amp;REPT("0",3-LEN(ROW(Очки)-ROW($D$2)))&amp;ROW(Очки)-ROW($D$2)),ROW()-ROW($D$2)),1)*1000,0)),"")</f>
        <v>0</v>
      </c>
      <c r="G15" s="5"/>
      <c r="H15" s="23" t="str">
        <f t="shared" ca="1" si="0"/>
        <v>Зыков</v>
      </c>
      <c r="I15" s="12"/>
      <c r="K15" s="16" t="str">
        <f t="array" aca="1" ref="K15" ca="1">INDEX(Фамилия1,ROUND(MOD(LARGE(--(COUNTIF(Очки2,"&lt;"&amp;Очки2)&amp;","&amp;REPT("0",3-LEN(ROW(Очки2)-ROW($K$2)))&amp;ROW(Очки2)-ROW($K$2)),ROW()-ROW($K$2)),1)*1000,0))</f>
        <v>Дворников</v>
      </c>
      <c r="L15" s="17">
        <f t="array" aca="1" ref="L15" ca="1">IFERROR(INDEX(Очки2,ROUND(MOD(LARGE(--(COUNTIF(Очки2,"&lt;"&amp;Очки2)&amp;","&amp;REPT("0",3-LEN(ROW(Очки2)-ROW($K$2)))&amp;ROW(Очки2)-ROW($K$2)),ROW()-ROW($K$2)),1)*1000,0)),"")</f>
        <v>0</v>
      </c>
    </row>
    <row r="16" spans="1:12" ht="15.75" thickBot="1" x14ac:dyDescent="0.3">
      <c r="A16" s="12" t="s">
        <v>18</v>
      </c>
      <c r="B16" s="12"/>
      <c r="D16" s="18" t="str">
        <f t="array" aca="1" ref="D16" ca="1">INDEX(Фамилия,ROUND(MOD(LARGE(--(COUNTIF(Очки,"&lt;"&amp;Очки)&amp;","&amp;REPT("0",3-LEN(ROW(Очки)-ROW($D$2)))&amp;ROW(Очки)-ROW($D$2)),ROW()-ROW($D$2)),1)*1000,0))</f>
        <v>Мещеряков</v>
      </c>
      <c r="E16" s="19">
        <f t="array" aca="1" ref="E16" ca="1">IFERROR(INDEX(Очки,ROUND(MOD(LARGE(--(COUNTIF(Очки,"&lt;"&amp;Очки)&amp;","&amp;REPT("0",3-LEN(ROW(Очки)-ROW($D$2)))&amp;ROW(Очки)-ROW($D$2)),ROW()-ROW($D$2)),1)*1000,0)),"")</f>
        <v>0</v>
      </c>
      <c r="G16" s="5"/>
      <c r="H16" s="23" t="str">
        <f t="shared" ca="1" si="0"/>
        <v>Мещеряков</v>
      </c>
      <c r="I16" s="12"/>
      <c r="K16" s="16" t="str">
        <f t="array" aca="1" ref="K16" ca="1">INDEX(Фамилия1,ROUND(MOD(LARGE(--(COUNTIF(Очки2,"&lt;"&amp;Очки2)&amp;","&amp;REPT("0",3-LEN(ROW(Очки2)-ROW($K$2)))&amp;ROW(Очки2)-ROW($K$2)),ROW()-ROW($K$2)),1)*1000,0))</f>
        <v>Жутов</v>
      </c>
      <c r="L16" s="17">
        <f t="array" aca="1" ref="L16" ca="1">IFERROR(INDEX(Очки2,ROUND(MOD(LARGE(--(COUNTIF(Очки2,"&lt;"&amp;Очки2)&amp;","&amp;REPT("0",3-LEN(ROW(Очки2)-ROW($K$2)))&amp;ROW(Очки2)-ROW($K$2)),ROW()-ROW($K$2)),1)*1000,0)),"")</f>
        <v>0</v>
      </c>
    </row>
    <row r="17" spans="1:12" ht="15.75" thickBot="1" x14ac:dyDescent="0.3">
      <c r="A17" s="12" t="s">
        <v>19</v>
      </c>
      <c r="B17" s="12"/>
      <c r="D17" s="18" t="str">
        <f t="array" aca="1" ref="D17" ca="1">INDEX(Фамилия,ROUND(MOD(LARGE(--(COUNTIF(Очки,"&lt;"&amp;Очки)&amp;","&amp;REPT("0",3-LEN(ROW(Очки)-ROW($D$2)))&amp;ROW(Очки)-ROW($D$2)),ROW()-ROW($D$2)),1)*1000,0))</f>
        <v>Крутиков</v>
      </c>
      <c r="E17" s="19">
        <f t="array" aca="1" ref="E17" ca="1">IFERROR(INDEX(Очки,ROUND(MOD(LARGE(--(COUNTIF(Очки,"&lt;"&amp;Очки)&amp;","&amp;REPT("0",3-LEN(ROW(Очки)-ROW($D$2)))&amp;ROW(Очки)-ROW($D$2)),ROW()-ROW($D$2)),1)*1000,0)),"")</f>
        <v>0</v>
      </c>
      <c r="G17" s="5"/>
      <c r="H17" s="23" t="str">
        <f t="shared" ca="1" si="0"/>
        <v>Крутиков</v>
      </c>
      <c r="I17" s="12"/>
      <c r="K17" s="16" t="str">
        <f t="array" aca="1" ref="K17" ca="1">INDEX(Фамилия1,ROUND(MOD(LARGE(--(COUNTIF(Очки2,"&lt;"&amp;Очки2)&amp;","&amp;REPT("0",3-LEN(ROW(Очки2)-ROW($K$2)))&amp;ROW(Очки2)-ROW($K$2)),ROW()-ROW($K$2)),1)*1000,0))</f>
        <v>Шпикалов</v>
      </c>
      <c r="L17" s="17">
        <f t="array" aca="1" ref="L17" ca="1">IFERROR(INDEX(Очки2,ROUND(MOD(LARGE(--(COUNTIF(Очки2,"&lt;"&amp;Очки2)&amp;","&amp;REPT("0",3-LEN(ROW(Очки2)-ROW($K$2)))&amp;ROW(Очки2)-ROW($K$2)),ROW()-ROW($K$2)),1)*1000,0)),"")</f>
        <v>0</v>
      </c>
    </row>
    <row r="18" spans="1:12" ht="15.75" thickBot="1" x14ac:dyDescent="0.3">
      <c r="A18" s="12" t="s">
        <v>20</v>
      </c>
      <c r="B18" s="12"/>
      <c r="D18" s="18" t="str">
        <f t="array" aca="1" ref="D18" ca="1">INDEX(Фамилия,ROUND(MOD(LARGE(--(COUNTIF(Очки,"&lt;"&amp;Очки)&amp;","&amp;REPT("0",3-LEN(ROW(Очки)-ROW($D$2)))&amp;ROW(Очки)-ROW($D$2)),ROW()-ROW($D$2)),1)*1000,0))</f>
        <v>Алеев</v>
      </c>
      <c r="E18" s="19">
        <f t="array" aca="1" ref="E18" ca="1">IFERROR(INDEX(Очки,ROUND(MOD(LARGE(--(COUNTIF(Очки,"&lt;"&amp;Очки)&amp;","&amp;REPT("0",3-LEN(ROW(Очки)-ROW($D$2)))&amp;ROW(Очки)-ROW($D$2)),ROW()-ROW($D$2)),1)*1000,0)),"")</f>
        <v>0</v>
      </c>
      <c r="G18" s="5"/>
      <c r="H18" s="23" t="str">
        <f t="shared" ca="1" si="0"/>
        <v>Алеев</v>
      </c>
      <c r="I18" s="12"/>
      <c r="K18" s="16" t="str">
        <f t="array" aca="1" ref="K18" ca="1">INDEX(Фамилия1,ROUND(MOD(LARGE(--(COUNTIF(Очки2,"&lt;"&amp;Очки2)&amp;","&amp;REPT("0",3-LEN(ROW(Очки2)-ROW($K$2)))&amp;ROW(Очки2)-ROW($K$2)),ROW()-ROW($K$2)),1)*1000,0))</f>
        <v>Решетилов</v>
      </c>
      <c r="L18" s="17">
        <f t="array" aca="1" ref="L18" ca="1">IFERROR(INDEX(Очки2,ROUND(MOD(LARGE(--(COUNTIF(Очки2,"&lt;"&amp;Очки2)&amp;","&amp;REPT("0",3-LEN(ROW(Очки2)-ROW($K$2)))&amp;ROW(Очки2)-ROW($K$2)),ROW()-ROW($K$2)),1)*1000,0)),"")</f>
        <v>0</v>
      </c>
    </row>
    <row r="19" spans="1:12" ht="15.75" thickBot="1" x14ac:dyDescent="0.3">
      <c r="A19" s="12" t="s">
        <v>21</v>
      </c>
      <c r="B19" s="12"/>
      <c r="D19" s="18" t="str">
        <f t="array" aca="1" ref="D19" ca="1">INDEX(Фамилия,ROUND(MOD(LARGE(--(COUNTIF(Очки,"&lt;"&amp;Очки)&amp;","&amp;REPT("0",3-LEN(ROW(Очки)-ROW($D$2)))&amp;ROW(Очки)-ROW($D$2)),ROW()-ROW($D$2)),1)*1000,0))</f>
        <v>Игнатьев</v>
      </c>
      <c r="E19" s="19">
        <f t="array" aca="1" ref="E19" ca="1">IFERROR(INDEX(Очки,ROUND(MOD(LARGE(--(COUNTIF(Очки,"&lt;"&amp;Очки)&amp;","&amp;REPT("0",3-LEN(ROW(Очки)-ROW($D$2)))&amp;ROW(Очки)-ROW($D$2)),ROW()-ROW($D$2)),1)*1000,0)),"")</f>
        <v>0</v>
      </c>
      <c r="G19" s="5"/>
      <c r="H19" s="23" t="str">
        <f t="shared" ca="1" si="0"/>
        <v>Игнатьев</v>
      </c>
      <c r="I19" s="12"/>
      <c r="K19" s="16" t="str">
        <f t="array" aca="1" ref="K19" ca="1">INDEX(Фамилия1,ROUND(MOD(LARGE(--(COUNTIF(Очки2,"&lt;"&amp;Очки2)&amp;","&amp;REPT("0",3-LEN(ROW(Очки2)-ROW($K$2)))&amp;ROW(Очки2)-ROW($K$2)),ROW()-ROW($K$2)),1)*1000,0))</f>
        <v>Качусов</v>
      </c>
      <c r="L19" s="17">
        <f t="array" aca="1" ref="L19" ca="1">IFERROR(INDEX(Очки2,ROUND(MOD(LARGE(--(COUNTIF(Очки2,"&lt;"&amp;Очки2)&amp;","&amp;REPT("0",3-LEN(ROW(Очки2)-ROW($K$2)))&amp;ROW(Очки2)-ROW($K$2)),ROW()-ROW($K$2)),1)*1000,0)),"")</f>
        <v>0</v>
      </c>
    </row>
    <row r="20" spans="1:12" ht="15.75" thickBot="1" x14ac:dyDescent="0.3">
      <c r="A20" s="12" t="s">
        <v>22</v>
      </c>
      <c r="B20" s="12"/>
      <c r="D20" s="18" t="str">
        <f t="array" aca="1" ref="D20" ca="1">INDEX(Фамилия,ROUND(MOD(LARGE(--(COUNTIF(Очки,"&lt;"&amp;Очки)&amp;","&amp;REPT("0",3-LEN(ROW(Очки)-ROW($D$2)))&amp;ROW(Очки)-ROW($D$2)),ROW()-ROW($D$2)),1)*1000,0))</f>
        <v>Низамутдинов</v>
      </c>
      <c r="E20" s="19">
        <f t="array" aca="1" ref="E20" ca="1">IFERROR(INDEX(Очки,ROUND(MOD(LARGE(--(COUNTIF(Очки,"&lt;"&amp;Очки)&amp;","&amp;REPT("0",3-LEN(ROW(Очки)-ROW($D$2)))&amp;ROW(Очки)-ROW($D$2)),ROW()-ROW($D$2)),1)*1000,0)),"")</f>
        <v>0</v>
      </c>
      <c r="G20" s="5"/>
      <c r="H20" s="23" t="str">
        <f t="shared" ca="1" si="0"/>
        <v>Низамутдинов</v>
      </c>
      <c r="I20" s="12"/>
      <c r="K20" s="16" t="str">
        <f t="array" aca="1" ref="K20" ca="1">INDEX(Фамилия1,ROUND(MOD(LARGE(--(COUNTIF(Очки2,"&lt;"&amp;Очки2)&amp;","&amp;REPT("0",3-LEN(ROW(Очки2)-ROW($K$2)))&amp;ROW(Очки2)-ROW($K$2)),ROW()-ROW($K$2)),1)*1000,0))</f>
        <v>Арефьев</v>
      </c>
      <c r="L20" s="17">
        <f t="array" aca="1" ref="L20" ca="1">IFERROR(INDEX(Очки2,ROUND(MOD(LARGE(--(COUNTIF(Очки2,"&lt;"&amp;Очки2)&amp;","&amp;REPT("0",3-LEN(ROW(Очки2)-ROW($K$2)))&amp;ROW(Очки2)-ROW($K$2)),ROW()-ROW($K$2)),1)*1000,0)),"")</f>
        <v>0</v>
      </c>
    </row>
    <row r="21" spans="1:12" ht="15.75" thickBot="1" x14ac:dyDescent="0.3">
      <c r="A21" s="12" t="s">
        <v>23</v>
      </c>
      <c r="B21" s="12"/>
      <c r="D21" s="18" t="str">
        <f t="array" aca="1" ref="D21" ca="1">INDEX(Фамилия,ROUND(MOD(LARGE(--(COUNTIF(Очки,"&lt;"&amp;Очки)&amp;","&amp;REPT("0",3-LEN(ROW(Очки)-ROW($D$2)))&amp;ROW(Очки)-ROW($D$2)),ROW()-ROW($D$2)),1)*1000,0))</f>
        <v>Горбунов</v>
      </c>
      <c r="E21" s="19">
        <f t="array" aca="1" ref="E21" ca="1">IFERROR(INDEX(Очки,ROUND(MOD(LARGE(--(COUNTIF(Очки,"&lt;"&amp;Очки)&amp;","&amp;REPT("0",3-LEN(ROW(Очки)-ROW($D$2)))&amp;ROW(Очки)-ROW($D$2)),ROW()-ROW($D$2)),1)*1000,0)),"")</f>
        <v>0</v>
      </c>
      <c r="G21" s="5"/>
      <c r="H21" s="23" t="str">
        <f t="shared" ca="1" si="0"/>
        <v>Горбунов</v>
      </c>
      <c r="I21" s="12"/>
      <c r="K21" s="16" t="str">
        <f t="array" aca="1" ref="K21" ca="1">INDEX(Фамилия1,ROUND(MOD(LARGE(--(COUNTIF(Очки2,"&lt;"&amp;Очки2)&amp;","&amp;REPT("0",3-LEN(ROW(Очки2)-ROW($K$2)))&amp;ROW(Очки2)-ROW($K$2)),ROW()-ROW($K$2)),1)*1000,0))</f>
        <v>Махмудов</v>
      </c>
      <c r="L21" s="17">
        <f t="array" aca="1" ref="L21" ca="1">IFERROR(INDEX(Очки2,ROUND(MOD(LARGE(--(COUNTIF(Очки2,"&lt;"&amp;Очки2)&amp;","&amp;REPT("0",3-LEN(ROW(Очки2)-ROW($K$2)))&amp;ROW(Очки2)-ROW($K$2)),ROW()-ROW($K$2)),1)*1000,0)),"")</f>
        <v>0</v>
      </c>
    </row>
    <row r="22" spans="1:12" ht="15.75" thickBot="1" x14ac:dyDescent="0.3">
      <c r="A22" s="12" t="s">
        <v>24</v>
      </c>
      <c r="B22" s="12"/>
      <c r="D22" s="18" t="str">
        <f t="array" aca="1" ref="D22" ca="1">INDEX(Фамилия,ROUND(MOD(LARGE(--(COUNTIF(Очки,"&lt;"&amp;Очки)&amp;","&amp;REPT("0",3-LEN(ROW(Очки)-ROW($D$2)))&amp;ROW(Очки)-ROW($D$2)),ROW()-ROW($D$2)),1)*1000,0))</f>
        <v>Милехин</v>
      </c>
      <c r="E22" s="19">
        <f t="array" aca="1" ref="E22" ca="1">IFERROR(INDEX(Очки,ROUND(MOD(LARGE(--(COUNTIF(Очки,"&lt;"&amp;Очки)&amp;","&amp;REPT("0",3-LEN(ROW(Очки)-ROW($D$2)))&amp;ROW(Очки)-ROW($D$2)),ROW()-ROW($D$2)),1)*1000,0)),"")</f>
        <v>0</v>
      </c>
      <c r="G22" s="5"/>
      <c r="H22" s="23" t="str">
        <f t="shared" ca="1" si="0"/>
        <v>Милехин</v>
      </c>
      <c r="I22" s="12"/>
      <c r="K22" s="16" t="str">
        <f t="array" aca="1" ref="K22" ca="1">INDEX(Фамилия1,ROUND(MOD(LARGE(--(COUNTIF(Очки2,"&lt;"&amp;Очки2)&amp;","&amp;REPT("0",3-LEN(ROW(Очки2)-ROW($K$2)))&amp;ROW(Очки2)-ROW($K$2)),ROW()-ROW($K$2)),1)*1000,0))</f>
        <v>Генкин</v>
      </c>
      <c r="L22" s="17">
        <f t="array" aca="1" ref="L22" ca="1">IFERROR(INDEX(Очки2,ROUND(MOD(LARGE(--(COUNTIF(Очки2,"&lt;"&amp;Очки2)&amp;","&amp;REPT("0",3-LEN(ROW(Очки2)-ROW($K$2)))&amp;ROW(Очки2)-ROW($K$2)),ROW()-ROW($K$2)),1)*1000,0)),"")</f>
        <v>0</v>
      </c>
    </row>
    <row r="23" spans="1:12" ht="15.75" thickBot="1" x14ac:dyDescent="0.3">
      <c r="A23" s="12" t="s">
        <v>25</v>
      </c>
      <c r="B23" s="12"/>
      <c r="D23" s="18" t="str">
        <f t="array" aca="1" ref="D23" ca="1">INDEX(Фамилия,ROUND(MOD(LARGE(--(COUNTIF(Очки,"&lt;"&amp;Очки)&amp;","&amp;REPT("0",3-LEN(ROW(Очки)-ROW($D$2)))&amp;ROW(Очки)-ROW($D$2)),ROW()-ROW($D$2)),1)*1000,0))</f>
        <v>Калягин</v>
      </c>
      <c r="E23" s="19">
        <f t="array" aca="1" ref="E23" ca="1">IFERROR(INDEX(Очки,ROUND(MOD(LARGE(--(COUNTIF(Очки,"&lt;"&amp;Очки)&amp;","&amp;REPT("0",3-LEN(ROW(Очки)-ROW($D$2)))&amp;ROW(Очки)-ROW($D$2)),ROW()-ROW($D$2)),1)*1000,0)),"")</f>
        <v>0</v>
      </c>
      <c r="G23" s="5"/>
      <c r="H23" s="23" t="str">
        <f t="shared" ca="1" si="0"/>
        <v>Калягин</v>
      </c>
      <c r="I23" s="12"/>
      <c r="K23" s="16" t="str">
        <f t="array" aca="1" ref="K23" ca="1">INDEX(Фамилия1,ROUND(MOD(LARGE(--(COUNTIF(Очки2,"&lt;"&amp;Очки2)&amp;","&amp;REPT("0",3-LEN(ROW(Очки2)-ROW($K$2)))&amp;ROW(Очки2)-ROW($K$2)),ROW()-ROW($K$2)),1)*1000,0))</f>
        <v>Пермяков</v>
      </c>
      <c r="L23" s="17">
        <f t="array" aca="1" ref="L23" ca="1">IFERROR(INDEX(Очки2,ROUND(MOD(LARGE(--(COUNTIF(Очки2,"&lt;"&amp;Очки2)&amp;","&amp;REPT("0",3-LEN(ROW(Очки2)-ROW($K$2)))&amp;ROW(Очки2)-ROW($K$2)),ROW()-ROW($K$2)),1)*1000,0)),"")</f>
        <v>0</v>
      </c>
    </row>
    <row r="24" spans="1:12" ht="15.75" thickBot="1" x14ac:dyDescent="0.3">
      <c r="A24" s="22" t="s">
        <v>26</v>
      </c>
      <c r="B24" s="22"/>
      <c r="D24" s="18" t="str">
        <f t="array" aca="1" ref="D24" ca="1">INDEX(Фамилия,ROUND(MOD(LARGE(--(COUNTIF(Очки,"&lt;"&amp;Очки)&amp;","&amp;REPT("0",3-LEN(ROW(Очки)-ROW($D$2)))&amp;ROW(Очки)-ROW($D$2)),ROW()-ROW($D$2)),1)*1000,0))</f>
        <v>Курчин</v>
      </c>
      <c r="E24" s="19">
        <f t="array" aca="1" ref="E24" ca="1">IFERROR(INDEX(Очки,ROUND(MOD(LARGE(--(COUNTIF(Очки,"&lt;"&amp;Очки)&amp;","&amp;REPT("0",3-LEN(ROW(Очки)-ROW($D$2)))&amp;ROW(Очки)-ROW($D$2)),ROW()-ROW($D$2)),1)*1000,0)),"")</f>
        <v>0</v>
      </c>
      <c r="H24" s="23" t="str">
        <f t="shared" ca="1" si="0"/>
        <v>Курчин</v>
      </c>
      <c r="I24" s="22"/>
      <c r="K24" s="16" t="str">
        <f t="array" aca="1" ref="K24" ca="1">INDEX(Фамилия1,ROUND(MOD(LARGE(--(COUNTIF(Очки2,"&lt;"&amp;Очки2)&amp;","&amp;REPT("0",3-LEN(ROW(Очки2)-ROW($K$2)))&amp;ROW(Очки2)-ROW($K$2)),ROW()-ROW($K$2)),1)*1000,0))</f>
        <v>Поздняков</v>
      </c>
      <c r="L24" s="17">
        <f t="array" aca="1" ref="L24" ca="1">IFERROR(INDEX(Очки2,ROUND(MOD(LARGE(--(COUNTIF(Очки2,"&lt;"&amp;Очки2)&amp;","&amp;REPT("0",3-LEN(ROW(Очки2)-ROW($K$2)))&amp;ROW(Очки2)-ROW($K$2)),ROW()-ROW($K$2)),1)*1000,0)),"")</f>
        <v>0</v>
      </c>
    </row>
    <row r="25" spans="1:12" ht="15.75" thickBot="1" x14ac:dyDescent="0.3">
      <c r="A25" s="12" t="s">
        <v>27</v>
      </c>
      <c r="B25" s="12"/>
      <c r="D25" s="18" t="str">
        <f t="array" aca="1" ref="D25" ca="1">INDEX(Фамилия,ROUND(MOD(LARGE(--(COUNTIF(Очки,"&lt;"&amp;Очки)&amp;","&amp;REPT("0",3-LEN(ROW(Очки)-ROW($D$2)))&amp;ROW(Очки)-ROW($D$2)),ROW()-ROW($D$2)),1)*1000,0))</f>
        <v>Лобов</v>
      </c>
      <c r="E25" s="19">
        <f t="array" aca="1" ref="E25" ca="1">IFERROR(INDEX(Очки,ROUND(MOD(LARGE(--(COUNTIF(Очки,"&lt;"&amp;Очки)&amp;","&amp;REPT("0",3-LEN(ROW(Очки)-ROW($D$2)))&amp;ROW(Очки)-ROW($D$2)),ROW()-ROW($D$2)),1)*1000,0)),"")</f>
        <v>0</v>
      </c>
      <c r="H25" s="23" t="str">
        <f t="shared" ca="1" si="0"/>
        <v>Лобов</v>
      </c>
      <c r="I25" s="12"/>
      <c r="K25" s="16" t="str">
        <f t="array" aca="1" ref="K25" ca="1">INDEX(Фамилия1,ROUND(MOD(LARGE(--(COUNTIF(Очки2,"&lt;"&amp;Очки2)&amp;","&amp;REPT("0",3-LEN(ROW(Очки2)-ROW($K$2)))&amp;ROW(Очки2)-ROW($K$2)),ROW()-ROW($K$2)),1)*1000,0))</f>
        <v>Толоконский</v>
      </c>
      <c r="L25" s="17">
        <f t="array" aca="1" ref="L25" ca="1">IFERROR(INDEX(Очки2,ROUND(MOD(LARGE(--(COUNTIF(Очки2,"&lt;"&amp;Очки2)&amp;","&amp;REPT("0",3-LEN(ROW(Очки2)-ROW($K$2)))&amp;ROW(Очки2)-ROW($K$2)),ROW()-ROW($K$2)),1)*1000,0)),"")</f>
        <v>0</v>
      </c>
    </row>
    <row r="26" spans="1:12" ht="15.75" thickBot="1" x14ac:dyDescent="0.3">
      <c r="A26" s="12" t="s">
        <v>28</v>
      </c>
      <c r="B26" s="12"/>
      <c r="D26" s="20" t="str">
        <f t="array" aca="1" ref="D26" ca="1">INDEX(Фамилия,ROUND(MOD(LARGE(--(COUNTIF(Очки,"&lt;"&amp;Очки)&amp;","&amp;REPT("0",3-LEN(ROW(Очки)-ROW($D$2)))&amp;ROW(Очки)-ROW($D$2)),ROW()-ROW($D$2)),1)*1000,0))</f>
        <v>Худовеков</v>
      </c>
      <c r="E26" s="21">
        <f t="array" aca="1" ref="E26" ca="1">IFERROR(INDEX(Очки,ROUND(MOD(LARGE(--(COUNTIF(Очки,"&lt;"&amp;Очки)&amp;","&amp;REPT("0",3-LEN(ROW(Очки)-ROW($D$2)))&amp;ROW(Очки)-ROW($D$2)),ROW()-ROW($D$2)),1)*1000,0)),"")</f>
        <v>0</v>
      </c>
      <c r="H26" s="23" t="str">
        <f t="shared" ca="1" si="0"/>
        <v>Худовеков</v>
      </c>
      <c r="I26" s="12"/>
      <c r="K26" s="16" t="str">
        <f t="array" aca="1" ref="K26" ca="1">INDEX(Фамилия1,ROUND(MOD(LARGE(--(COUNTIF(Очки2,"&lt;"&amp;Очки2)&amp;","&amp;REPT("0",3-LEN(ROW(Очки2)-ROW($K$2)))&amp;ROW(Очки2)-ROW($K$2)),ROW()-ROW($K$2)),1)*1000,0))</f>
        <v>Иванов</v>
      </c>
      <c r="L26" s="17">
        <f t="array" aca="1" ref="L26" ca="1">IFERROR(INDEX(Очки2,ROUND(MOD(LARGE(--(COUNTIF(Очки2,"&lt;"&amp;Очки2)&amp;","&amp;REPT("0",3-LEN(ROW(Очки2)-ROW($K$2)))&amp;ROW(Очки2)-ROW($K$2)),ROW()-ROW($K$2)),1)*1000,0)),"")</f>
        <v>0</v>
      </c>
    </row>
    <row r="27" spans="1:12" ht="15.75" thickBot="1" x14ac:dyDescent="0.3">
      <c r="A27" s="12" t="s">
        <v>29</v>
      </c>
      <c r="B27" s="12"/>
      <c r="D27" s="5" t="str">
        <f t="array" aca="1" ref="D27" ca="1">INDEX(Фамилия,ROUND(MOD(LARGE(--(COUNTIF(Очки,"&lt;"&amp;Очки)&amp;","&amp;REPT("0",3-LEN(ROW(Очки)-ROW($D$2)))&amp;ROW(Очки)-ROW($D$2)),ROW()-ROW($D$2)),1)*1000,0))</f>
        <v>Супрунов</v>
      </c>
      <c r="E27" s="5">
        <f t="array" aca="1" ref="E27" ca="1">IFERROR(INDEX(Очки,ROUND(MOD(LARGE(--(COUNTIF(Очки,"&lt;"&amp;Очки)&amp;","&amp;REPT("0",3-LEN(ROW(Очки)-ROW($D$2)))&amp;ROW(Очки)-ROW($D$2)),ROW()-ROW($D$2)),1)*1000,0)),"")</f>
        <v>0</v>
      </c>
      <c r="H27" s="23"/>
      <c r="I27" s="12"/>
      <c r="K27" s="16" t="e">
        <f t="array" aca="1" ref="K27" ca="1">INDEX(Фамилия1,ROUND(MOD(LARGE(--(COUNTIF(Очки2,"&lt;"&amp;Очки2)&amp;","&amp;REPT("0",3-LEN(ROW(Очки2)-ROW($K$2)))&amp;ROW(Очки2)-ROW($K$2)),ROW()-ROW($K$2)),1)*1000,0))</f>
        <v>#NUM!</v>
      </c>
      <c r="L27" s="17"/>
    </row>
    <row r="28" spans="1:12" x14ac:dyDescent="0.25">
      <c r="A28" s="12" t="s">
        <v>30</v>
      </c>
      <c r="B28" s="12"/>
      <c r="D28" s="5" t="str">
        <f t="array" aca="1" ref="D28" ca="1">INDEX(Фамилия,ROUND(MOD(LARGE(--(COUNTIF(Очки,"&lt;"&amp;Очки)&amp;","&amp;REPT("0",3-LEN(ROW(Очки)-ROW($D$2)))&amp;ROW(Очки)-ROW($D$2)),ROW()-ROW($D$2)),1)*1000,0))</f>
        <v>Бережной</v>
      </c>
      <c r="E28" s="5">
        <f t="array" aca="1" ref="E28" ca="1">IFERROR(INDEX(Очки,ROUND(MOD(LARGE(--(COUNTIF(Очки,"&lt;"&amp;Очки)&amp;","&amp;REPT("0",3-LEN(ROW(Очки)-ROW($D$2)))&amp;ROW(Очки)-ROW($D$2)),ROW()-ROW($D$2)),1)*1000,0)),"")</f>
        <v>0</v>
      </c>
      <c r="H28" s="23"/>
      <c r="I28" s="12"/>
      <c r="K28" s="16" t="e">
        <f t="array" aca="1" ref="K28" ca="1">INDEX(Фамилия1,ROUND(MOD(LARGE(--(COUNTIF(Очки2,"&lt;"&amp;Очки2)&amp;","&amp;REPT("0",3-LEN(ROW(Очки2)-ROW($K$2)))&amp;ROW(Очки2)-ROW($K$2)),ROW()-ROW($K$2)),1)*1000,0))</f>
        <v>#NUM!</v>
      </c>
      <c r="L28" s="17"/>
    </row>
    <row r="29" spans="1:12" x14ac:dyDescent="0.25">
      <c r="A29" s="12" t="s">
        <v>31</v>
      </c>
      <c r="B29" s="12"/>
      <c r="D29" s="5" t="str">
        <f t="array" aca="1" ref="D29" ca="1">INDEX(Фамилия,ROUND(MOD(LARGE(--(COUNTIF(Очки,"&lt;"&amp;Очки)&amp;","&amp;REPT("0",3-LEN(ROW(Очки)-ROW($D$2)))&amp;ROW(Очки)-ROW($D$2)),ROW()-ROW($D$2)),1)*1000,0))</f>
        <v>Бурцов</v>
      </c>
      <c r="E29" s="5">
        <f t="array" aca="1" ref="E29" ca="1">IFERROR(INDEX(Очки,ROUND(MOD(LARGE(--(COUNTIF(Очки,"&lt;"&amp;Очки)&amp;","&amp;REPT("0",3-LEN(ROW(Очки)-ROW($D$2)))&amp;ROW(Очки)-ROW($D$2)),ROW()-ROW($D$2)),1)*1000,0)),"")</f>
        <v>0</v>
      </c>
      <c r="H29" s="23"/>
      <c r="I29" s="12"/>
    </row>
    <row r="30" spans="1:12" x14ac:dyDescent="0.25">
      <c r="A30" s="12" t="s">
        <v>32</v>
      </c>
      <c r="B30" s="12"/>
      <c r="D30" s="5" t="str">
        <f t="array" aca="1" ref="D30" ca="1">INDEX(Фамилия,ROUND(MOD(LARGE(--(COUNTIF(Очки,"&lt;"&amp;Очки)&amp;","&amp;REPT("0",3-LEN(ROW(Очки)-ROW($D$2)))&amp;ROW(Очки)-ROW($D$2)),ROW()-ROW($D$2)),1)*1000,0))</f>
        <v>Шишкин</v>
      </c>
      <c r="E30" s="5">
        <f t="array" aca="1" ref="E30" ca="1">IFERROR(INDEX(Очки,ROUND(MOD(LARGE(--(COUNTIF(Очки,"&lt;"&amp;Очки)&amp;","&amp;REPT("0",3-LEN(ROW(Очки)-ROW($D$2)))&amp;ROW(Очки)-ROW($D$2)),ROW()-ROW($D$2)),1)*1000,0)),"")</f>
        <v>0</v>
      </c>
      <c r="H30" s="23"/>
      <c r="I30" s="12"/>
    </row>
    <row r="31" spans="1:12" x14ac:dyDescent="0.25">
      <c r="A31" s="12" t="s">
        <v>33</v>
      </c>
      <c r="B31" s="12"/>
      <c r="D31" s="5" t="str">
        <f t="array" aca="1" ref="D31" ca="1">INDEX(Фамилия,ROUND(MOD(LARGE(--(COUNTIF(Очки,"&lt;"&amp;Очки)&amp;","&amp;REPT("0",3-LEN(ROW(Очки)-ROW($D$2)))&amp;ROW(Очки)-ROW($D$2)),ROW()-ROW($D$2)),1)*1000,0))</f>
        <v>Фанин</v>
      </c>
      <c r="E31" s="5">
        <f t="array" aca="1" ref="E31" ca="1">IFERROR(INDEX(Очки,ROUND(MOD(LARGE(--(COUNTIF(Очки,"&lt;"&amp;Очки)&amp;","&amp;REPT("0",3-LEN(ROW(Очки)-ROW($D$2)))&amp;ROW(Очки)-ROW($D$2)),ROW()-ROW($D$2)),1)*1000,0)),"")</f>
        <v>0</v>
      </c>
      <c r="H31" s="23"/>
      <c r="I31" s="12"/>
    </row>
    <row r="32" spans="1:12" x14ac:dyDescent="0.25">
      <c r="A32" s="12" t="s">
        <v>34</v>
      </c>
      <c r="B32" s="12"/>
      <c r="D32" s="5" t="str">
        <f t="array" aca="1" ref="D32" ca="1">INDEX(Фамилия,ROUND(MOD(LARGE(--(COUNTIF(Очки,"&lt;"&amp;Очки)&amp;","&amp;REPT("0",3-LEN(ROW(Очки)-ROW($D$2)))&amp;ROW(Очки)-ROW($D$2)),ROW()-ROW($D$2)),1)*1000,0))</f>
        <v>Цыганов</v>
      </c>
      <c r="E32" s="5">
        <f t="array" aca="1" ref="E32" ca="1">IFERROR(INDEX(Очки,ROUND(MOD(LARGE(--(COUNTIF(Очки,"&lt;"&amp;Очки)&amp;","&amp;REPT("0",3-LEN(ROW(Очки)-ROW($D$2)))&amp;ROW(Очки)-ROW($D$2)),ROW()-ROW($D$2)),1)*1000,0)),"")</f>
        <v>0</v>
      </c>
      <c r="I32" s="12"/>
    </row>
    <row r="33" spans="1:9" x14ac:dyDescent="0.25">
      <c r="A33" s="12" t="s">
        <v>35</v>
      </c>
      <c r="B33" s="12"/>
      <c r="D33" s="5" t="str">
        <f t="array" aca="1" ref="D33" ca="1">INDEX(Фамилия,ROUND(MOD(LARGE(--(COUNTIF(Очки,"&lt;"&amp;Очки)&amp;","&amp;REPT("0",3-LEN(ROW(Очки)-ROW($D$2)))&amp;ROW(Очки)-ROW($D$2)),ROW()-ROW($D$2)),1)*1000,0))</f>
        <v>Трубачев</v>
      </c>
      <c r="E33" s="5">
        <f t="array" aca="1" ref="E33" ca="1">IFERROR(INDEX(Очки,ROUND(MOD(LARGE(--(COUNTIF(Очки,"&lt;"&amp;Очки)&amp;","&amp;REPT("0",3-LEN(ROW(Очки)-ROW($D$2)))&amp;ROW(Очки)-ROW($D$2)),ROW()-ROW($D$2)),1)*1000,0)),"")</f>
        <v>0</v>
      </c>
      <c r="I33" s="12"/>
    </row>
    <row r="34" spans="1:9" x14ac:dyDescent="0.25">
      <c r="A34" s="12" t="s">
        <v>36</v>
      </c>
      <c r="B34" s="12"/>
      <c r="D34" s="5" t="str">
        <f t="array" aca="1" ref="D34" ca="1">INDEX(Фамилия,ROUND(MOD(LARGE(--(COUNTIF(Очки,"&lt;"&amp;Очки)&amp;","&amp;REPT("0",3-LEN(ROW(Очки)-ROW($D$2)))&amp;ROW(Очки)-ROW($D$2)),ROW()-ROW($D$2)),1)*1000,0))</f>
        <v>Стельмаченко</v>
      </c>
      <c r="E34" s="5">
        <f t="array" aca="1" ref="E34" ca="1">IFERROR(INDEX(Очки,ROUND(MOD(LARGE(--(COUNTIF(Очки,"&lt;"&amp;Очки)&amp;","&amp;REPT("0",3-LEN(ROW(Очки)-ROW($D$2)))&amp;ROW(Очки)-ROW($D$2)),ROW()-ROW($D$2)),1)*1000,0)),"")</f>
        <v>0</v>
      </c>
      <c r="I34" s="12"/>
    </row>
    <row r="35" spans="1:9" x14ac:dyDescent="0.25">
      <c r="A35" s="12" t="s">
        <v>37</v>
      </c>
      <c r="B35" s="12"/>
      <c r="D35" s="5" t="str">
        <f t="array" aca="1" ref="D35" ca="1">INDEX(Фамилия,ROUND(MOD(LARGE(--(COUNTIF(Очки,"&lt;"&amp;Очки)&amp;","&amp;REPT("0",3-LEN(ROW(Очки)-ROW($D$2)))&amp;ROW(Очки)-ROW($D$2)),ROW()-ROW($D$2)),1)*1000,0))</f>
        <v>Соловьев</v>
      </c>
      <c r="E35" s="5">
        <f t="array" aca="1" ref="E35" ca="1">IFERROR(INDEX(Очки,ROUND(MOD(LARGE(--(COUNTIF(Очки,"&lt;"&amp;Очки)&amp;","&amp;REPT("0",3-LEN(ROW(Очки)-ROW($D$2)))&amp;ROW(Очки)-ROW($D$2)),ROW()-ROW($D$2)),1)*1000,0)),"")</f>
        <v>0</v>
      </c>
      <c r="I35" s="12"/>
    </row>
    <row r="36" spans="1:9" x14ac:dyDescent="0.25">
      <c r="A36" s="12" t="s">
        <v>38</v>
      </c>
      <c r="B36" s="12"/>
      <c r="D36" s="5" t="str">
        <f t="array" aca="1" ref="D36" ca="1">INDEX(Фамилия,ROUND(MOD(LARGE(--(COUNTIF(Очки,"&lt;"&amp;Очки)&amp;","&amp;REPT("0",3-LEN(ROW(Очки)-ROW($D$2)))&amp;ROW(Очки)-ROW($D$2)),ROW()-ROW($D$2)),1)*1000,0))</f>
        <v>Скорых</v>
      </c>
      <c r="E36" s="5">
        <f t="array" aca="1" ref="E36" ca="1">IFERROR(INDEX(Очки,ROUND(MOD(LARGE(--(COUNTIF(Очки,"&lt;"&amp;Очки)&amp;","&amp;REPT("0",3-LEN(ROW(Очки)-ROW($D$2)))&amp;ROW(Очки)-ROW($D$2)),ROW()-ROW($D$2)),1)*1000,0)),"")</f>
        <v>0</v>
      </c>
      <c r="I36" s="12"/>
    </row>
    <row r="37" spans="1:9" x14ac:dyDescent="0.25">
      <c r="A37" s="12" t="s">
        <v>39</v>
      </c>
      <c r="B37" s="12"/>
      <c r="D37" s="5" t="str">
        <f t="array" aca="1" ref="D37" ca="1">INDEX(Фамилия,ROUND(MOD(LARGE(--(COUNTIF(Очки,"&lt;"&amp;Очки)&amp;","&amp;REPT("0",3-LEN(ROW(Очки)-ROW($D$2)))&amp;ROW(Очки)-ROW($D$2)),ROW()-ROW($D$2)),1)*1000,0))</f>
        <v>Попов</v>
      </c>
      <c r="E37" s="5">
        <f t="array" aca="1" ref="E37" ca="1">IFERROR(INDEX(Очки,ROUND(MOD(LARGE(--(COUNTIF(Очки,"&lt;"&amp;Очки)&amp;","&amp;REPT("0",3-LEN(ROW(Очки)-ROW($D$2)))&amp;ROW(Очки)-ROW($D$2)),ROW()-ROW($D$2)),1)*1000,0)),"")</f>
        <v>0</v>
      </c>
      <c r="I37" s="12"/>
    </row>
    <row r="38" spans="1:9" x14ac:dyDescent="0.25">
      <c r="A38" s="12" t="s">
        <v>40</v>
      </c>
      <c r="B38" s="12"/>
      <c r="D38" s="5" t="str">
        <f t="array" aca="1" ref="D38" ca="1">INDEX(Фамилия,ROUND(MOD(LARGE(--(COUNTIF(Очки,"&lt;"&amp;Очки)&amp;","&amp;REPT("0",3-LEN(ROW(Очки)-ROW($D$2)))&amp;ROW(Очки)-ROW($D$2)),ROW()-ROW($D$2)),1)*1000,0))</f>
        <v>Плотников</v>
      </c>
      <c r="E38" s="5">
        <f t="array" aca="1" ref="E38" ca="1">IFERROR(INDEX(Очки,ROUND(MOD(LARGE(--(COUNTIF(Очки,"&lt;"&amp;Очки)&amp;","&amp;REPT("0",3-LEN(ROW(Очки)-ROW($D$2)))&amp;ROW(Очки)-ROW($D$2)),ROW()-ROW($D$2)),1)*1000,0)),"")</f>
        <v>0</v>
      </c>
      <c r="I38" s="12"/>
    </row>
    <row r="39" spans="1:9" x14ac:dyDescent="0.25">
      <c r="A39" s="12" t="s">
        <v>41</v>
      </c>
      <c r="B39" s="12"/>
      <c r="D39" s="5" t="str">
        <f t="array" aca="1" ref="D39" ca="1">INDEX(Фамилия,ROUND(MOD(LARGE(--(COUNTIF(Очки,"&lt;"&amp;Очки)&amp;","&amp;REPT("0",3-LEN(ROW(Очки)-ROW($D$2)))&amp;ROW(Очки)-ROW($D$2)),ROW()-ROW($D$2)),1)*1000,0))</f>
        <v>Петров</v>
      </c>
      <c r="E39" s="5">
        <f t="array" aca="1" ref="E39" ca="1">IFERROR(INDEX(Очки,ROUND(MOD(LARGE(--(COUNTIF(Очки,"&lt;"&amp;Очки)&amp;","&amp;REPT("0",3-LEN(ROW(Очки)-ROW($D$2)))&amp;ROW(Очки)-ROW($D$2)),ROW()-ROW($D$2)),1)*1000,0)),"")</f>
        <v>0</v>
      </c>
      <c r="I39" s="12"/>
    </row>
    <row r="40" spans="1:9" x14ac:dyDescent="0.25">
      <c r="A40" s="12" t="s">
        <v>42</v>
      </c>
      <c r="B40" s="12"/>
      <c r="D40" s="5" t="str">
        <f t="array" aca="1" ref="D40" ca="1">INDEX(Фамилия,ROUND(MOD(LARGE(--(COUNTIF(Очки,"&lt;"&amp;Очки)&amp;","&amp;REPT("0",3-LEN(ROW(Очки)-ROW($D$2)))&amp;ROW(Очки)-ROW($D$2)),ROW()-ROW($D$2)),1)*1000,0))</f>
        <v>Осмоловский</v>
      </c>
      <c r="E40" s="5">
        <f t="array" aca="1" ref="E40" ca="1">IFERROR(INDEX(Очки,ROUND(MOD(LARGE(--(COUNTIF(Очки,"&lt;"&amp;Очки)&amp;","&amp;REPT("0",3-LEN(ROW(Очки)-ROW($D$2)))&amp;ROW(Очки)-ROW($D$2)),ROW()-ROW($D$2)),1)*1000,0)),"")</f>
        <v>0</v>
      </c>
      <c r="I40" s="12"/>
    </row>
    <row r="41" spans="1:9" x14ac:dyDescent="0.25">
      <c r="A41" s="12" t="s">
        <v>43</v>
      </c>
      <c r="B41" s="12"/>
      <c r="D41" s="5" t="str">
        <f t="array" aca="1" ref="D41" ca="1">INDEX(Фамилия,ROUND(MOD(LARGE(--(COUNTIF(Очки,"&lt;"&amp;Очки)&amp;","&amp;REPT("0",3-LEN(ROW(Очки)-ROW($D$2)))&amp;ROW(Очки)-ROW($D$2)),ROW()-ROW($D$2)),1)*1000,0))</f>
        <v>Немцов</v>
      </c>
      <c r="E41" s="5">
        <f t="array" aca="1" ref="E41" ca="1">IFERROR(INDEX(Очки,ROUND(MOD(LARGE(--(COUNTIF(Очки,"&lt;"&amp;Очки)&amp;","&amp;REPT("0",3-LEN(ROW(Очки)-ROW($D$2)))&amp;ROW(Очки)-ROW($D$2)),ROW()-ROW($D$2)),1)*1000,0)),"")</f>
        <v>0</v>
      </c>
      <c r="I41" s="12"/>
    </row>
    <row r="42" spans="1:9" x14ac:dyDescent="0.25">
      <c r="A42" s="12" t="s">
        <v>44</v>
      </c>
      <c r="B42" s="12"/>
      <c r="D42" s="5" t="str">
        <f t="array" aca="1" ref="D42" ca="1">INDEX(Фамилия,ROUND(MOD(LARGE(--(COUNTIF(Очки,"&lt;"&amp;Очки)&amp;","&amp;REPT("0",3-LEN(ROW(Очки)-ROW($D$2)))&amp;ROW(Очки)-ROW($D$2)),ROW()-ROW($D$2)),1)*1000,0))</f>
        <v>Назаров</v>
      </c>
      <c r="E42" s="5">
        <f t="array" aca="1" ref="E42" ca="1">IFERROR(INDEX(Очки,ROUND(MOD(LARGE(--(COUNTIF(Очки,"&lt;"&amp;Очки)&amp;","&amp;REPT("0",3-LEN(ROW(Очки)-ROW($D$2)))&amp;ROW(Очки)-ROW($D$2)),ROW()-ROW($D$2)),1)*1000,0)),"")</f>
        <v>0</v>
      </c>
      <c r="I42" s="12"/>
    </row>
    <row r="43" spans="1:9" x14ac:dyDescent="0.25">
      <c r="A43" s="12" t="s">
        <v>45</v>
      </c>
      <c r="B43" s="12"/>
      <c r="D43" s="5" t="str">
        <f t="array" aca="1" ref="D43" ca="1">INDEX(Фамилия,ROUND(MOD(LARGE(--(COUNTIF(Очки,"&lt;"&amp;Очки)&amp;","&amp;REPT("0",3-LEN(ROW(Очки)-ROW($D$2)))&amp;ROW(Очки)-ROW($D$2)),ROW()-ROW($D$2)),1)*1000,0))</f>
        <v>Лобанов</v>
      </c>
      <c r="E43" s="5">
        <f t="array" aca="1" ref="E43" ca="1">IFERROR(INDEX(Очки,ROUND(MOD(LARGE(--(COUNTIF(Очки,"&lt;"&amp;Очки)&amp;","&amp;REPT("0",3-LEN(ROW(Очки)-ROW($D$2)))&amp;ROW(Очки)-ROW($D$2)),ROW()-ROW($D$2)),1)*1000,0)),"")</f>
        <v>0</v>
      </c>
      <c r="I43" s="12"/>
    </row>
    <row r="44" spans="1:9" x14ac:dyDescent="0.25">
      <c r="A44" s="12" t="s">
        <v>46</v>
      </c>
      <c r="B44" s="12"/>
      <c r="D44" s="5" t="str">
        <f t="array" aca="1" ref="D44" ca="1">INDEX(Фамилия,ROUND(MOD(LARGE(--(COUNTIF(Очки,"&lt;"&amp;Очки)&amp;","&amp;REPT("0",3-LEN(ROW(Очки)-ROW($D$2)))&amp;ROW(Очки)-ROW($D$2)),ROW()-ROW($D$2)),1)*1000,0))</f>
        <v>Куркин</v>
      </c>
      <c r="E44" s="5">
        <f t="array" aca="1" ref="E44" ca="1">IFERROR(INDEX(Очки,ROUND(MOD(LARGE(--(COUNTIF(Очки,"&lt;"&amp;Очки)&amp;","&amp;REPT("0",3-LEN(ROW(Очки)-ROW($D$2)))&amp;ROW(Очки)-ROW($D$2)),ROW()-ROW($D$2)),1)*1000,0)),"")</f>
        <v>0</v>
      </c>
    </row>
    <row r="45" spans="1:9" x14ac:dyDescent="0.25">
      <c r="A45" s="12" t="s">
        <v>47</v>
      </c>
      <c r="B45" s="12"/>
      <c r="D45" s="5" t="str">
        <f t="array" aca="1" ref="D45" ca="1">INDEX(Фамилия,ROUND(MOD(LARGE(--(COUNTIF(Очки,"&lt;"&amp;Очки)&amp;","&amp;REPT("0",3-LEN(ROW(Очки)-ROW($D$2)))&amp;ROW(Очки)-ROW($D$2)),ROW()-ROW($D$2)),1)*1000,0))</f>
        <v>Курганский</v>
      </c>
      <c r="E45" s="5">
        <f t="array" aca="1" ref="E45" ca="1">IFERROR(INDEX(Очки,ROUND(MOD(LARGE(--(COUNTIF(Очки,"&lt;"&amp;Очки)&amp;","&amp;REPT("0",3-LEN(ROW(Очки)-ROW($D$2)))&amp;ROW(Очки)-ROW($D$2)),ROW()-ROW($D$2)),1)*1000,0)),"")</f>
        <v>0</v>
      </c>
    </row>
    <row r="46" spans="1:9" x14ac:dyDescent="0.25">
      <c r="A46" s="12" t="s">
        <v>48</v>
      </c>
      <c r="B46" s="12"/>
      <c r="D46" s="5" t="str">
        <f t="array" aca="1" ref="D46" ca="1">INDEX(Фамилия,ROUND(MOD(LARGE(--(COUNTIF(Очки,"&lt;"&amp;Очки)&amp;","&amp;REPT("0",3-LEN(ROW(Очки)-ROW($D$2)))&amp;ROW(Очки)-ROW($D$2)),ROW()-ROW($D$2)),1)*1000,0))</f>
        <v>Куликов</v>
      </c>
      <c r="E46" s="5">
        <f t="array" aca="1" ref="E46" ca="1">IFERROR(INDEX(Очки,ROUND(MOD(LARGE(--(COUNTIF(Очки,"&lt;"&amp;Очки)&amp;","&amp;REPT("0",3-LEN(ROW(Очки)-ROW($D$2)))&amp;ROW(Очки)-ROW($D$2)),ROW()-ROW($D$2)),1)*1000,0)),"")</f>
        <v>0</v>
      </c>
    </row>
    <row r="47" spans="1:9" x14ac:dyDescent="0.25">
      <c r="A47" s="12" t="s">
        <v>49</v>
      </c>
      <c r="B47" s="12"/>
      <c r="D47" s="5" t="str">
        <f t="array" aca="1" ref="D47" ca="1">INDEX(Фамилия,ROUND(MOD(LARGE(--(COUNTIF(Очки,"&lt;"&amp;Очки)&amp;","&amp;REPT("0",3-LEN(ROW(Очки)-ROW($D$2)))&amp;ROW(Очки)-ROW($D$2)),ROW()-ROW($D$2)),1)*1000,0))</f>
        <v>Емелин</v>
      </c>
      <c r="E47" s="5">
        <f t="array" aca="1" ref="E47" ca="1">IFERROR(INDEX(Очки,ROUND(MOD(LARGE(--(COUNTIF(Очки,"&lt;"&amp;Очки)&amp;","&amp;REPT("0",3-LEN(ROW(Очки)-ROW($D$2)))&amp;ROW(Очки)-ROW($D$2)),ROW()-ROW($D$2)),1)*1000,0)),"")</f>
        <v>0</v>
      </c>
    </row>
    <row r="48" spans="1:9" x14ac:dyDescent="0.25">
      <c r="A48" s="12" t="s">
        <v>50</v>
      </c>
      <c r="B48" s="12"/>
      <c r="D48" s="5" t="str">
        <f t="array" aca="1" ref="D48" ca="1">INDEX(Фамилия,ROUND(MOD(LARGE(--(COUNTIF(Очки,"&lt;"&amp;Очки)&amp;","&amp;REPT("0",3-LEN(ROW(Очки)-ROW($D$2)))&amp;ROW(Очки)-ROW($D$2)),ROW()-ROW($D$2)),1)*1000,0))</f>
        <v>Быков</v>
      </c>
      <c r="E48" s="5">
        <f t="array" aca="1" ref="E48" ca="1">IFERROR(INDEX(Очки,ROUND(MOD(LARGE(--(COUNTIF(Очки,"&lt;"&amp;Очки)&amp;","&amp;REPT("0",3-LEN(ROW(Очки)-ROW($D$2)))&amp;ROW(Очки)-ROW($D$2)),ROW()-ROW($D$2)),1)*1000,0)),"")</f>
        <v>0</v>
      </c>
    </row>
    <row r="49" spans="1:5" x14ac:dyDescent="0.25">
      <c r="A49" s="12" t="s">
        <v>51</v>
      </c>
      <c r="B49" s="12"/>
      <c r="D49" s="5" t="str">
        <f t="array" aca="1" ref="D49" ca="1">INDEX(Фамилия,ROUND(MOD(LARGE(--(COUNTIF(Очки,"&lt;"&amp;Очки)&amp;","&amp;REPT("0",3-LEN(ROW(Очки)-ROW($D$2)))&amp;ROW(Очки)-ROW($D$2)),ROW()-ROW($D$2)),1)*1000,0))</f>
        <v>Бородин</v>
      </c>
      <c r="E49" s="5">
        <f t="array" aca="1" ref="E49" ca="1">IFERROR(INDEX(Очки,ROUND(MOD(LARGE(--(COUNTIF(Очки,"&lt;"&amp;Очки)&amp;","&amp;REPT("0",3-LEN(ROW(Очки)-ROW($D$2)))&amp;ROW(Очки)-ROW($D$2)),ROW()-ROW($D$2)),1)*1000,0)),"")</f>
        <v>0</v>
      </c>
    </row>
    <row r="50" spans="1:5" x14ac:dyDescent="0.25">
      <c r="A50" s="12" t="s">
        <v>52</v>
      </c>
      <c r="B50" s="12"/>
      <c r="D50" s="5" t="str">
        <f t="array" aca="1" ref="D50" ca="1">INDEX(Фамилия,ROUND(MOD(LARGE(--(COUNTIF(Очки,"&lt;"&amp;Очки)&amp;","&amp;REPT("0",3-LEN(ROW(Очки)-ROW($D$2)))&amp;ROW(Очки)-ROW($D$2)),ROW()-ROW($D$2)),1)*1000,0))</f>
        <v>Абрамов</v>
      </c>
      <c r="E50" s="5">
        <f t="array" aca="1" ref="E50" ca="1">IFERROR(INDEX(Очки,ROUND(MOD(LARGE(--(COUNTIF(Очки,"&lt;"&amp;Очки)&amp;","&amp;REPT("0",3-LEN(ROW(Очки)-ROW($D$2)))&amp;ROW(Очки)-ROW($D$2)),ROW()-ROW($D$2)),1)*1000,0)),"")</f>
        <v>0</v>
      </c>
    </row>
    <row r="51" spans="1:5" x14ac:dyDescent="0.25">
      <c r="A51" s="3"/>
      <c r="B51" s="6"/>
      <c r="D51" s="13"/>
      <c r="E51" s="13"/>
    </row>
  </sheetData>
  <dataConsolidate/>
  <conditionalFormatting sqref="D3:E51">
    <cfRule type="expression" dxfId="7" priority="20" stopIfTrue="1">
      <formula>LEN($E3)=0</formula>
    </cfRule>
  </conditionalFormatting>
  <conditionalFormatting sqref="B3:B51">
    <cfRule type="dataBar" priority="21">
      <dataBar>
        <cfvo type="min"/>
        <cfvo type="max"/>
        <color rgb="FFFF555A"/>
      </dataBar>
    </cfRule>
    <cfRule type="duplicateValues" dxfId="6" priority="44"/>
  </conditionalFormatting>
  <conditionalFormatting sqref="B11:B51">
    <cfRule type="duplicateValues" dxfId="5" priority="45"/>
  </conditionalFormatting>
  <conditionalFormatting sqref="E3:E51">
    <cfRule type="dataBar" priority="19">
      <dataBar>
        <cfvo type="min"/>
        <cfvo type="max"/>
        <color rgb="FF63C384"/>
      </dataBar>
    </cfRule>
  </conditionalFormatting>
  <conditionalFormatting sqref="E3:E51">
    <cfRule type="duplicateValues" dxfId="4" priority="25"/>
  </conditionalFormatting>
  <conditionalFormatting sqref="I29:I43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{081EE9E5-3A8E-42D6-A4C3-CB3D2F6E867D}</x14:id>
        </ext>
      </extLst>
    </cfRule>
  </conditionalFormatting>
  <conditionalFormatting sqref="K3:L28">
    <cfRule type="expression" dxfId="3" priority="7" stopIfTrue="1">
      <formula>LEN($E3)=0</formula>
    </cfRule>
  </conditionalFormatting>
  <conditionalFormatting sqref="L3:L28">
    <cfRule type="dataBar" priority="6">
      <dataBar>
        <cfvo type="min"/>
        <cfvo type="max"/>
        <color rgb="FF63C384"/>
      </dataBar>
    </cfRule>
  </conditionalFormatting>
  <conditionalFormatting sqref="L3:L28">
    <cfRule type="duplicateValues" dxfId="2" priority="8"/>
  </conditionalFormatting>
  <conditionalFormatting sqref="I3:I28">
    <cfRule type="dataBar" priority="1">
      <dataBar>
        <cfvo type="min"/>
        <cfvo type="max"/>
        <color rgb="FFFF555A"/>
      </dataBar>
    </cfRule>
    <cfRule type="duplicateValues" dxfId="1" priority="2"/>
  </conditionalFormatting>
  <conditionalFormatting sqref="I11:I28">
    <cfRule type="duplicateValues" dxfId="0" priority="3"/>
  </conditionalFormatting>
  <dataValidations count="1">
    <dataValidation allowBlank="1" showInputMessage="1" showErrorMessage="1" promptTitle="Фамилия" sqref="H2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1EE9E5-3A8E-42D6-A4C3-CB3D2F6E8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I29:I43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theme="8" tint="-0.499984740745262"/>
  </sheetPr>
  <dimension ref="A1:G5"/>
  <sheetViews>
    <sheetView showGridLines="0" workbookViewId="0">
      <selection sqref="A1:G1"/>
    </sheetView>
  </sheetViews>
  <sheetFormatPr defaultColWidth="0" defaultRowHeight="15.75" customHeight="1" zeroHeight="1" x14ac:dyDescent="0.25"/>
  <cols>
    <col min="1" max="1" width="93.42578125" style="7" customWidth="1"/>
    <col min="2" max="16384" width="9.140625" style="7" hidden="1"/>
  </cols>
  <sheetData>
    <row r="1" spans="1:7" ht="36.75" customHeight="1" x14ac:dyDescent="0.25">
      <c r="A1" s="26" t="s">
        <v>0</v>
      </c>
      <c r="B1" s="26"/>
      <c r="C1" s="26"/>
      <c r="D1" s="26"/>
      <c r="E1" s="26"/>
      <c r="F1" s="26"/>
      <c r="G1" s="26"/>
    </row>
    <row r="2" spans="1:7" ht="107.25" customHeight="1" x14ac:dyDescent="0.25">
      <c r="A2" s="11" t="s">
        <v>1</v>
      </c>
    </row>
    <row r="3" spans="1:7" ht="105" customHeight="1" x14ac:dyDescent="0.25">
      <c r="A3" s="11" t="s">
        <v>2</v>
      </c>
    </row>
    <row r="4" spans="1:7" ht="28.5" hidden="1" customHeight="1" x14ac:dyDescent="0.25"/>
    <row r="5" spans="1:7" ht="15.75" hidden="1" customHeight="1" x14ac:dyDescent="0.25"/>
  </sheetData>
  <sheetProtection sheet="1" objects="1" scenarios="1" selectLockedCells="1"/>
  <mergeCells count="1">
    <mergeCell ref="A1:G1"/>
  </mergeCells>
  <hyperlinks>
    <hyperlink ref="A1" r:id="rId1" display="Файл скачан с сайта excel2.ru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8" tint="-0.499984740745262"/>
  </sheetPr>
  <dimension ref="A1:G5"/>
  <sheetViews>
    <sheetView showGridLines="0" workbookViewId="0">
      <selection sqref="A1:G1"/>
    </sheetView>
  </sheetViews>
  <sheetFormatPr defaultColWidth="0" defaultRowHeight="15.75" customHeight="1" zeroHeight="1" x14ac:dyDescent="0.25"/>
  <cols>
    <col min="1" max="1" width="93.42578125" style="7" customWidth="1"/>
    <col min="2" max="16384" width="9.140625" style="7" hidden="1"/>
  </cols>
  <sheetData>
    <row r="1" spans="1:7" ht="36.75" customHeight="1" x14ac:dyDescent="0.25">
      <c r="A1" s="26" t="s">
        <v>0</v>
      </c>
      <c r="B1" s="26"/>
      <c r="C1" s="26"/>
      <c r="D1" s="26"/>
      <c r="E1" s="26"/>
      <c r="F1" s="26"/>
      <c r="G1" s="26"/>
    </row>
    <row r="2" spans="1:7" ht="107.25" customHeight="1" x14ac:dyDescent="0.25">
      <c r="A2" s="11" t="s">
        <v>1</v>
      </c>
    </row>
    <row r="3" spans="1:7" ht="105" customHeight="1" x14ac:dyDescent="0.25">
      <c r="A3" s="11" t="s">
        <v>2</v>
      </c>
    </row>
    <row r="4" spans="1:7" ht="28.5" hidden="1" customHeight="1" x14ac:dyDescent="0.25"/>
    <row r="5" spans="1:7" ht="15.75" hidden="1" customHeight="1" x14ac:dyDescent="0.25"/>
  </sheetData>
  <sheetProtection sheet="1" objects="1" scenarios="1" selectLockedCells="1"/>
  <mergeCells count="1">
    <mergeCell ref="A1:G1"/>
  </mergeCells>
  <hyperlinks>
    <hyperlink ref="A1" r:id="rId1" display="Файл скачан с сайта excel2.ru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Книга1</vt:lpstr>
      <vt:lpstr>EXCEL2.RU</vt:lpstr>
    </vt:vector>
  </TitlesOfParts>
  <Company>excel2.ru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</dc:creator>
  <cp:lastModifiedBy>2kaf</cp:lastModifiedBy>
  <dcterms:created xsi:type="dcterms:W3CDTF">2011-01-31T08:28:31Z</dcterms:created>
  <dcterms:modified xsi:type="dcterms:W3CDTF">2016-12-05T06:53:21Z</dcterms:modified>
</cp:coreProperties>
</file>